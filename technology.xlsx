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y4174/Documents/GitHub/GCAM_USA/"/>
    </mc:Choice>
  </mc:AlternateContent>
  <xr:revisionPtr revIDLastSave="0" documentId="13_ncr:1_{394E68DC-4698-5148-829C-B904F4EBDEAA}" xr6:coauthVersionLast="47" xr6:coauthVersionMax="47" xr10:uidLastSave="{00000000-0000-0000-0000-000000000000}"/>
  <bookViews>
    <workbookView xWindow="13000" yWindow="760" windowWidth="34560" windowHeight="20460" firstSheet="3" activeTab="8" xr2:uid="{05EA3646-A85E-534D-A1FC-571F8F5FDE62}"/>
  </bookViews>
  <sheets>
    <sheet name="Subsidy_short" sheetId="4" r:id="rId1"/>
    <sheet name="Subsidy" sheetId="1" r:id="rId2"/>
    <sheet name="Tariff_short" sheetId="5" r:id="rId3"/>
    <sheet name="Tariff_wide" sheetId="2" r:id="rId4"/>
    <sheet name="Tariff_current" sheetId="6" r:id="rId5"/>
    <sheet name="Tariff_chaos" sheetId="8" r:id="rId6"/>
    <sheet name="Onshore_supply" sheetId="10" r:id="rId7"/>
    <sheet name="Onshore" sheetId="12" r:id="rId8"/>
    <sheet name="Onshore_random" sheetId="13" r:id="rId9"/>
    <sheet name="Onshore_chaos" sheetId="7" r:id="rId10"/>
    <sheet name="Free" sheetId="3" r:id="rId11"/>
    <sheet name="REF_chaos" sheetId="11" r:id="rId12"/>
    <sheet name="Wind" sheetId="9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7" l="1"/>
  <c r="C4" i="7"/>
  <c r="D4" i="7"/>
  <c r="C3" i="7"/>
  <c r="D3" i="7"/>
  <c r="B3" i="7"/>
  <c r="B6" i="7"/>
  <c r="C6" i="7"/>
  <c r="D6" i="7"/>
  <c r="E6" i="7"/>
  <c r="B7" i="7"/>
  <c r="C7" i="7"/>
  <c r="D7" i="7"/>
  <c r="E7" i="7"/>
  <c r="B8" i="7"/>
  <c r="C8" i="7"/>
  <c r="D8" i="7"/>
  <c r="E8" i="7"/>
  <c r="E5" i="7"/>
  <c r="C5" i="7"/>
  <c r="D5" i="7"/>
  <c r="B5" i="7"/>
  <c r="E4" i="7"/>
  <c r="E3" i="7"/>
  <c r="E4" i="8" l="1"/>
  <c r="E5" i="8"/>
  <c r="E6" i="8"/>
  <c r="E7" i="8"/>
  <c r="E8" i="8"/>
  <c r="E3" i="8"/>
  <c r="B4" i="8"/>
  <c r="C4" i="8"/>
  <c r="D4" i="8"/>
  <c r="B5" i="8"/>
  <c r="C5" i="8"/>
  <c r="D5" i="8"/>
  <c r="B6" i="8"/>
  <c r="C6" i="8"/>
  <c r="D6" i="8"/>
  <c r="B7" i="8"/>
  <c r="C7" i="8"/>
  <c r="D7" i="8"/>
  <c r="B8" i="8"/>
  <c r="C8" i="8"/>
  <c r="D8" i="8"/>
  <c r="C3" i="8"/>
  <c r="D3" i="8"/>
  <c r="B3" i="8"/>
</calcChain>
</file>

<file path=xl/sharedStrings.xml><?xml version="1.0" encoding="utf-8"?>
<sst xmlns="http://schemas.openxmlformats.org/spreadsheetml/2006/main" count="88" uniqueCount="12">
  <si>
    <t>PV_int</t>
  </si>
  <si>
    <t>PV_peak</t>
  </si>
  <si>
    <t>PV_subpeak</t>
  </si>
  <si>
    <t>rooftop_pv</t>
  </si>
  <si>
    <t>PV_base_storage</t>
  </si>
  <si>
    <t>year</t>
  </si>
  <si>
    <t>EV</t>
  </si>
  <si>
    <t>wind_base</t>
  </si>
  <si>
    <t>wind_base_offshore</t>
  </si>
  <si>
    <t>wind_base_storage</t>
  </si>
  <si>
    <t>wind_int</t>
  </si>
  <si>
    <t>wind_subpeak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</si>
</sst>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C754-9845-8144-95A5-E81E67A7FAF9}">
  <dimension ref="A1:G8"/>
  <sheetViews>
    <sheetView workbookViewId="0">
      <selection activeCell="G3" sqref="G3:G8"/>
    </sheetView>
  </sheetViews>
  <sheetFormatPr baseColWidth="10" defaultRowHeight="16" x14ac:dyDescent="0.2"/>
  <sheetData>
    <row r="1" spans="1:7" x14ac:dyDescent="0.2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4</v>
      </c>
      <c r="G1" t="s">
        <v>6</v>
      </c>
    </row>
    <row r="2" spans="1:7" x14ac:dyDescent="0.2">
      <c r="A2">
        <v>2020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 x14ac:dyDescent="0.2">
      <c r="A3">
        <v>2025</v>
      </c>
      <c r="B3">
        <v>0.95</v>
      </c>
      <c r="C3">
        <v>0.95</v>
      </c>
      <c r="D3">
        <v>0.95</v>
      </c>
      <c r="E3">
        <v>0.98</v>
      </c>
      <c r="F3">
        <v>0.94</v>
      </c>
      <c r="G3">
        <v>0.75</v>
      </c>
    </row>
    <row r="4" spans="1:7" x14ac:dyDescent="0.2">
      <c r="A4">
        <v>2030</v>
      </c>
      <c r="B4">
        <v>0.95</v>
      </c>
      <c r="C4">
        <v>0.95</v>
      </c>
      <c r="D4">
        <v>0.95</v>
      </c>
      <c r="E4">
        <v>0.98</v>
      </c>
      <c r="F4">
        <v>0.94</v>
      </c>
      <c r="G4">
        <v>0.75</v>
      </c>
    </row>
    <row r="5" spans="1:7" x14ac:dyDescent="0.2">
      <c r="A5">
        <v>2035</v>
      </c>
      <c r="B5">
        <v>0.95</v>
      </c>
      <c r="C5">
        <v>0.95</v>
      </c>
      <c r="D5">
        <v>0.95</v>
      </c>
      <c r="E5">
        <v>0.98</v>
      </c>
      <c r="F5">
        <v>0.94</v>
      </c>
      <c r="G5">
        <v>0.75</v>
      </c>
    </row>
    <row r="6" spans="1:7" x14ac:dyDescent="0.2">
      <c r="A6">
        <v>2040</v>
      </c>
      <c r="B6">
        <v>0.95</v>
      </c>
      <c r="C6">
        <v>0.95</v>
      </c>
      <c r="D6">
        <v>0.95</v>
      </c>
      <c r="E6">
        <v>0.98</v>
      </c>
      <c r="F6">
        <v>0.94</v>
      </c>
      <c r="G6">
        <v>0.75</v>
      </c>
    </row>
    <row r="7" spans="1:7" x14ac:dyDescent="0.2">
      <c r="A7">
        <v>2045</v>
      </c>
      <c r="B7">
        <v>0.95</v>
      </c>
      <c r="C7">
        <v>0.95</v>
      </c>
      <c r="D7">
        <v>0.95</v>
      </c>
      <c r="E7">
        <v>0.98</v>
      </c>
      <c r="F7">
        <v>0.94</v>
      </c>
      <c r="G7">
        <v>0.75</v>
      </c>
    </row>
    <row r="8" spans="1:7" x14ac:dyDescent="0.2">
      <c r="A8">
        <v>2050</v>
      </c>
      <c r="B8">
        <v>0.95</v>
      </c>
      <c r="C8">
        <v>0.95</v>
      </c>
      <c r="D8">
        <v>0.95</v>
      </c>
      <c r="E8">
        <v>0.98</v>
      </c>
      <c r="F8">
        <v>0.94</v>
      </c>
      <c r="G8">
        <v>0.75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5D085-11C0-2648-9DC0-22E5F6B2E8BA}">
  <dimension ref="A1:G8"/>
  <sheetViews>
    <sheetView workbookViewId="0">
      <selection activeCell="B3" sqref="B3:F8"/>
    </sheetView>
  </sheetViews>
  <sheetFormatPr baseColWidth="10" defaultRowHeight="16" x14ac:dyDescent="0.2"/>
  <sheetData>
    <row r="1" spans="1:7" x14ac:dyDescent="0.2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4</v>
      </c>
      <c r="G1" t="s">
        <v>6</v>
      </c>
    </row>
    <row r="2" spans="1:7" x14ac:dyDescent="0.2">
      <c r="A2">
        <v>2020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 x14ac:dyDescent="0.2">
      <c r="A3">
        <v>2025</v>
      </c>
      <c r="B3">
        <v>0.7</v>
      </c>
      <c r="C3">
        <v>0.7</v>
      </c>
      <c r="D3">
        <v>0.7</v>
      </c>
      <c r="E3">
        <v>0.7</v>
      </c>
      <c r="F3">
        <v>0.7</v>
      </c>
      <c r="G3">
        <v>1</v>
      </c>
    </row>
    <row r="4" spans="1:7" x14ac:dyDescent="0.2">
      <c r="A4">
        <v>2030</v>
      </c>
      <c r="B4">
        <v>0.7</v>
      </c>
      <c r="C4">
        <v>0.7</v>
      </c>
      <c r="D4">
        <v>0.7</v>
      </c>
      <c r="E4">
        <v>0.7</v>
      </c>
      <c r="F4">
        <v>0.7</v>
      </c>
      <c r="G4">
        <v>1</v>
      </c>
    </row>
    <row r="5" spans="1:7" x14ac:dyDescent="0.2">
      <c r="A5">
        <v>2035</v>
      </c>
      <c r="B5">
        <v>0.7</v>
      </c>
      <c r="C5">
        <v>0.7</v>
      </c>
      <c r="D5">
        <v>0.7</v>
      </c>
      <c r="E5">
        <v>0.7</v>
      </c>
      <c r="F5">
        <v>0.7</v>
      </c>
      <c r="G5">
        <v>1</v>
      </c>
    </row>
    <row r="6" spans="1:7" x14ac:dyDescent="0.2">
      <c r="A6">
        <v>2040</v>
      </c>
      <c r="B6">
        <v>0.7</v>
      </c>
      <c r="C6">
        <v>0.7</v>
      </c>
      <c r="D6">
        <v>0.7</v>
      </c>
      <c r="E6">
        <v>0.7</v>
      </c>
      <c r="F6">
        <v>0.7</v>
      </c>
      <c r="G6">
        <v>1</v>
      </c>
    </row>
    <row r="7" spans="1:7" x14ac:dyDescent="0.2">
      <c r="A7">
        <v>2045</v>
      </c>
      <c r="B7">
        <v>0.7</v>
      </c>
      <c r="C7">
        <v>0.7</v>
      </c>
      <c r="D7">
        <v>0.7</v>
      </c>
      <c r="E7">
        <v>0.7</v>
      </c>
      <c r="F7">
        <v>0.7</v>
      </c>
      <c r="G7">
        <v>1</v>
      </c>
    </row>
    <row r="8" spans="1:7" x14ac:dyDescent="0.2">
      <c r="A8">
        <v>2050</v>
      </c>
      <c r="B8">
        <v>0.7</v>
      </c>
      <c r="C8">
        <v>0.7</v>
      </c>
      <c r="D8">
        <v>0.7</v>
      </c>
      <c r="E8">
        <v>0.7</v>
      </c>
      <c r="F8">
        <v>0.7</v>
      </c>
      <c r="G8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B1819-B388-8944-B752-FCC701EC4F99}">
  <dimension ref="A1:G8"/>
  <sheetViews>
    <sheetView workbookViewId="0">
      <selection activeCell="G58" sqref="G58"/>
    </sheetView>
  </sheetViews>
  <sheetFormatPr baseColWidth="10" defaultRowHeight="16" x14ac:dyDescent="0.2"/>
  <sheetData>
    <row r="1" spans="1:7" x14ac:dyDescent="0.2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4</v>
      </c>
      <c r="G1" t="s">
        <v>6</v>
      </c>
    </row>
    <row r="2" spans="1:7" x14ac:dyDescent="0.2">
      <c r="A2">
        <v>2020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 x14ac:dyDescent="0.2">
      <c r="A3">
        <v>2025</v>
      </c>
      <c r="B3">
        <v>1.04</v>
      </c>
      <c r="C3">
        <v>1.04</v>
      </c>
      <c r="D3">
        <v>1.04</v>
      </c>
      <c r="E3">
        <v>1.02</v>
      </c>
      <c r="F3">
        <v>1.05</v>
      </c>
      <c r="G3">
        <v>1.05</v>
      </c>
    </row>
    <row r="4" spans="1:7" x14ac:dyDescent="0.2">
      <c r="A4">
        <v>2030</v>
      </c>
      <c r="B4">
        <v>1.04</v>
      </c>
      <c r="C4">
        <v>1.04</v>
      </c>
      <c r="D4">
        <v>1.04</v>
      </c>
      <c r="E4">
        <v>1.02</v>
      </c>
      <c r="F4">
        <v>1.05</v>
      </c>
      <c r="G4">
        <v>1.05</v>
      </c>
    </row>
    <row r="5" spans="1:7" x14ac:dyDescent="0.2">
      <c r="A5">
        <v>2035</v>
      </c>
      <c r="B5">
        <v>1.04</v>
      </c>
      <c r="C5">
        <v>1.04</v>
      </c>
      <c r="D5">
        <v>1.04</v>
      </c>
      <c r="E5">
        <v>1.02</v>
      </c>
      <c r="F5">
        <v>1.05</v>
      </c>
      <c r="G5">
        <v>1.05</v>
      </c>
    </row>
    <row r="6" spans="1:7" x14ac:dyDescent="0.2">
      <c r="A6">
        <v>2040</v>
      </c>
      <c r="B6">
        <v>1.04</v>
      </c>
      <c r="C6">
        <v>1.04</v>
      </c>
      <c r="D6">
        <v>1.04</v>
      </c>
      <c r="E6">
        <v>1.02</v>
      </c>
      <c r="F6">
        <v>1.05</v>
      </c>
      <c r="G6">
        <v>1.05</v>
      </c>
    </row>
    <row r="7" spans="1:7" x14ac:dyDescent="0.2">
      <c r="A7">
        <v>2045</v>
      </c>
      <c r="B7">
        <v>1.04</v>
      </c>
      <c r="C7">
        <v>1.04</v>
      </c>
      <c r="D7">
        <v>1.04</v>
      </c>
      <c r="E7">
        <v>1.02</v>
      </c>
      <c r="F7">
        <v>1.05</v>
      </c>
      <c r="G7">
        <v>1.05</v>
      </c>
    </row>
    <row r="8" spans="1:7" x14ac:dyDescent="0.2">
      <c r="A8">
        <v>2050</v>
      </c>
      <c r="B8">
        <v>1.04</v>
      </c>
      <c r="C8">
        <v>1.04</v>
      </c>
      <c r="D8">
        <v>1.04</v>
      </c>
      <c r="E8">
        <v>1.02</v>
      </c>
      <c r="F8">
        <v>1.05</v>
      </c>
      <c r="G8">
        <v>1.05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15E9A-A8F1-EE45-AF6E-5A001AC3BAE1}">
  <dimension ref="A1:G8"/>
  <sheetViews>
    <sheetView workbookViewId="0">
      <selection activeCell="C4" sqref="C4"/>
    </sheetView>
  </sheetViews>
  <sheetFormatPr baseColWidth="10" defaultRowHeight="16" x14ac:dyDescent="0.2"/>
  <sheetData>
    <row r="1" spans="1:7" x14ac:dyDescent="0.2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4</v>
      </c>
      <c r="G1" t="s">
        <v>6</v>
      </c>
    </row>
    <row r="2" spans="1:7" x14ac:dyDescent="0.2">
      <c r="A2">
        <v>2020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 x14ac:dyDescent="0.2">
      <c r="A3">
        <v>2025</v>
      </c>
      <c r="B3">
        <v>1.36</v>
      </c>
      <c r="C3">
        <v>1.36</v>
      </c>
      <c r="D3">
        <v>1.36</v>
      </c>
      <c r="E3">
        <v>1.3</v>
      </c>
      <c r="F3">
        <v>1.33</v>
      </c>
      <c r="G3">
        <v>1.0900000000000001</v>
      </c>
    </row>
    <row r="4" spans="1:7" x14ac:dyDescent="0.2">
      <c r="A4">
        <v>2030</v>
      </c>
      <c r="B4">
        <v>1.36</v>
      </c>
      <c r="C4">
        <v>1.36</v>
      </c>
      <c r="D4">
        <v>1.36</v>
      </c>
      <c r="E4">
        <v>1.3</v>
      </c>
      <c r="F4">
        <v>1.33</v>
      </c>
      <c r="G4">
        <v>1.0900000000000001</v>
      </c>
    </row>
    <row r="5" spans="1:7" x14ac:dyDescent="0.2">
      <c r="A5">
        <v>2035</v>
      </c>
      <c r="B5">
        <v>1.36</v>
      </c>
      <c r="C5">
        <v>1.36</v>
      </c>
      <c r="D5">
        <v>1.36</v>
      </c>
      <c r="E5">
        <v>1.3</v>
      </c>
      <c r="F5">
        <v>1.33</v>
      </c>
      <c r="G5">
        <v>1.0900000000000001</v>
      </c>
    </row>
    <row r="6" spans="1:7" x14ac:dyDescent="0.2">
      <c r="A6">
        <v>2040</v>
      </c>
      <c r="B6">
        <v>1.36</v>
      </c>
      <c r="C6">
        <v>1.36</v>
      </c>
      <c r="D6">
        <v>1.36</v>
      </c>
      <c r="E6">
        <v>1.3</v>
      </c>
      <c r="F6">
        <v>1.33</v>
      </c>
      <c r="G6">
        <v>1.0900000000000001</v>
      </c>
    </row>
    <row r="7" spans="1:7" x14ac:dyDescent="0.2">
      <c r="A7">
        <v>2045</v>
      </c>
      <c r="B7">
        <v>1.36</v>
      </c>
      <c r="C7">
        <v>1.36</v>
      </c>
      <c r="D7">
        <v>1.36</v>
      </c>
      <c r="E7">
        <v>1.3</v>
      </c>
      <c r="F7">
        <v>1.33</v>
      </c>
      <c r="G7">
        <v>1.0900000000000001</v>
      </c>
    </row>
    <row r="8" spans="1:7" x14ac:dyDescent="0.2">
      <c r="A8">
        <v>2050</v>
      </c>
      <c r="B8">
        <v>1.36</v>
      </c>
      <c r="C8">
        <v>1.36</v>
      </c>
      <c r="D8">
        <v>1.36</v>
      </c>
      <c r="E8">
        <v>1.3</v>
      </c>
      <c r="F8">
        <v>1.33</v>
      </c>
      <c r="G8">
        <v>1.0900000000000001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10655-89B8-B74B-84FF-D2C3A3CD63F0}">
  <dimension ref="A1:F8"/>
  <sheetViews>
    <sheetView workbookViewId="0">
      <selection activeCell="F30" sqref="F30"/>
    </sheetView>
  </sheetViews>
  <sheetFormatPr baseColWidth="10" defaultRowHeight="16" x14ac:dyDescent="0.2"/>
  <sheetData>
    <row r="1" spans="1:6" x14ac:dyDescent="0.2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6</v>
      </c>
    </row>
    <row r="2" spans="1:6" x14ac:dyDescent="0.2">
      <c r="A2">
        <v>2020</v>
      </c>
      <c r="B2">
        <v>1</v>
      </c>
      <c r="C2">
        <v>1</v>
      </c>
      <c r="D2">
        <v>1</v>
      </c>
      <c r="E2">
        <v>1</v>
      </c>
      <c r="F2">
        <v>1</v>
      </c>
    </row>
    <row r="3" spans="1:6" x14ac:dyDescent="0.2">
      <c r="A3">
        <v>2025</v>
      </c>
      <c r="B3">
        <v>1.24</v>
      </c>
      <c r="C3">
        <v>1.24</v>
      </c>
      <c r="D3">
        <v>1.24</v>
      </c>
      <c r="E3">
        <v>1.19</v>
      </c>
      <c r="F3">
        <v>1.02</v>
      </c>
    </row>
    <row r="4" spans="1:6" x14ac:dyDescent="0.2">
      <c r="A4">
        <v>2030</v>
      </c>
      <c r="B4">
        <v>1.24</v>
      </c>
      <c r="C4">
        <v>1.24</v>
      </c>
      <c r="D4">
        <v>1.24</v>
      </c>
      <c r="E4">
        <v>1.19</v>
      </c>
      <c r="F4">
        <v>1.02</v>
      </c>
    </row>
    <row r="5" spans="1:6" x14ac:dyDescent="0.2">
      <c r="A5">
        <v>2035</v>
      </c>
      <c r="B5">
        <v>1.24</v>
      </c>
      <c r="C5">
        <v>1.24</v>
      </c>
      <c r="D5">
        <v>1.24</v>
      </c>
      <c r="E5">
        <v>1.19</v>
      </c>
      <c r="F5">
        <v>1.02</v>
      </c>
    </row>
    <row r="6" spans="1:6" x14ac:dyDescent="0.2">
      <c r="A6">
        <v>2040</v>
      </c>
      <c r="B6">
        <v>1.24</v>
      </c>
      <c r="C6">
        <v>1.24</v>
      </c>
      <c r="D6">
        <v>1.24</v>
      </c>
      <c r="E6">
        <v>1.19</v>
      </c>
      <c r="F6">
        <v>1.02</v>
      </c>
    </row>
    <row r="7" spans="1:6" x14ac:dyDescent="0.2">
      <c r="A7">
        <v>2045</v>
      </c>
      <c r="B7">
        <v>1.24</v>
      </c>
      <c r="C7">
        <v>1.24</v>
      </c>
      <c r="D7">
        <v>1.24</v>
      </c>
      <c r="E7">
        <v>1.19</v>
      </c>
      <c r="F7">
        <v>1.02</v>
      </c>
    </row>
    <row r="8" spans="1:6" x14ac:dyDescent="0.2">
      <c r="A8">
        <v>2050</v>
      </c>
      <c r="B8">
        <v>1.24</v>
      </c>
      <c r="C8">
        <v>1.24</v>
      </c>
      <c r="D8">
        <v>1.24</v>
      </c>
      <c r="E8">
        <v>1.19</v>
      </c>
      <c r="F8">
        <v>1.02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BFAC9-78FC-BF4A-99A8-36F6CB12AAB4}">
  <dimension ref="A1:F8"/>
  <sheetViews>
    <sheetView workbookViewId="0">
      <selection activeCell="A16" sqref="A16"/>
    </sheetView>
  </sheetViews>
  <sheetFormatPr baseColWidth="10" defaultRowHeight="16" x14ac:dyDescent="0.2"/>
  <sheetData>
    <row r="1" spans="1:6" x14ac:dyDescent="0.2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6</v>
      </c>
    </row>
    <row r="2" spans="1:6" x14ac:dyDescent="0.2">
      <c r="A2">
        <v>2020</v>
      </c>
      <c r="B2">
        <v>1</v>
      </c>
      <c r="C2">
        <v>1</v>
      </c>
      <c r="D2">
        <v>1</v>
      </c>
      <c r="E2">
        <v>1</v>
      </c>
      <c r="F2">
        <v>1</v>
      </c>
    </row>
    <row r="3" spans="1:6" x14ac:dyDescent="0.2">
      <c r="A3">
        <v>2025</v>
      </c>
      <c r="B3">
        <f>1.24*2.5</f>
        <v>3.1</v>
      </c>
      <c r="C3">
        <f t="shared" ref="C3:D8" si="0">1.24*2.5</f>
        <v>3.1</v>
      </c>
      <c r="D3">
        <f t="shared" si="0"/>
        <v>3.1</v>
      </c>
      <c r="E3">
        <f>1.19*2.5</f>
        <v>2.9749999999999996</v>
      </c>
      <c r="F3">
        <v>2.2000000000000002</v>
      </c>
    </row>
    <row r="4" spans="1:6" x14ac:dyDescent="0.2">
      <c r="A4">
        <v>2030</v>
      </c>
      <c r="B4">
        <f t="shared" ref="B4:B8" si="1">1.24*2.5</f>
        <v>3.1</v>
      </c>
      <c r="C4">
        <f t="shared" si="0"/>
        <v>3.1</v>
      </c>
      <c r="D4">
        <f t="shared" si="0"/>
        <v>3.1</v>
      </c>
      <c r="E4">
        <f t="shared" ref="E4:E8" si="2">1.19*2.5</f>
        <v>2.9749999999999996</v>
      </c>
      <c r="F4">
        <v>2.2000000000000002</v>
      </c>
    </row>
    <row r="5" spans="1:6" x14ac:dyDescent="0.2">
      <c r="A5">
        <v>2035</v>
      </c>
      <c r="B5">
        <f t="shared" si="1"/>
        <v>3.1</v>
      </c>
      <c r="C5">
        <f t="shared" si="0"/>
        <v>3.1</v>
      </c>
      <c r="D5">
        <f t="shared" si="0"/>
        <v>3.1</v>
      </c>
      <c r="E5">
        <f t="shared" si="2"/>
        <v>2.9749999999999996</v>
      </c>
      <c r="F5">
        <v>2.2000000000000002</v>
      </c>
    </row>
    <row r="6" spans="1:6" x14ac:dyDescent="0.2">
      <c r="A6">
        <v>2040</v>
      </c>
      <c r="B6">
        <f t="shared" si="1"/>
        <v>3.1</v>
      </c>
      <c r="C6">
        <f t="shared" si="0"/>
        <v>3.1</v>
      </c>
      <c r="D6">
        <f t="shared" si="0"/>
        <v>3.1</v>
      </c>
      <c r="E6">
        <f t="shared" si="2"/>
        <v>2.9749999999999996</v>
      </c>
      <c r="F6">
        <v>2.2000000000000002</v>
      </c>
    </row>
    <row r="7" spans="1:6" x14ac:dyDescent="0.2">
      <c r="A7">
        <v>2045</v>
      </c>
      <c r="B7">
        <f t="shared" si="1"/>
        <v>3.1</v>
      </c>
      <c r="C7">
        <f t="shared" si="0"/>
        <v>3.1</v>
      </c>
      <c r="D7">
        <f t="shared" si="0"/>
        <v>3.1</v>
      </c>
      <c r="E7">
        <f t="shared" si="2"/>
        <v>2.9749999999999996</v>
      </c>
      <c r="F7">
        <v>2.2000000000000002</v>
      </c>
    </row>
    <row r="8" spans="1:6" x14ac:dyDescent="0.2">
      <c r="A8">
        <v>2050</v>
      </c>
      <c r="B8">
        <f t="shared" si="1"/>
        <v>3.1</v>
      </c>
      <c r="C8">
        <f t="shared" si="0"/>
        <v>3.1</v>
      </c>
      <c r="D8">
        <f t="shared" si="0"/>
        <v>3.1</v>
      </c>
      <c r="E8">
        <f t="shared" si="2"/>
        <v>2.9749999999999996</v>
      </c>
      <c r="F8">
        <v>2.2000000000000002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8B155-4D47-3B4E-9CF0-F16174517601}">
  <dimension ref="A1:F8"/>
  <sheetViews>
    <sheetView workbookViewId="0">
      <selection activeCell="B7" sqref="B7"/>
    </sheetView>
  </sheetViews>
  <sheetFormatPr baseColWidth="10" defaultRowHeight="16" x14ac:dyDescent="0.2"/>
  <sheetData>
    <row r="1" spans="1:6" x14ac:dyDescent="0.2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6</v>
      </c>
    </row>
    <row r="2" spans="1:6" x14ac:dyDescent="0.2">
      <c r="A2">
        <v>2020</v>
      </c>
      <c r="B2">
        <v>1</v>
      </c>
      <c r="C2">
        <v>1</v>
      </c>
      <c r="D2">
        <v>1</v>
      </c>
      <c r="E2">
        <v>1</v>
      </c>
      <c r="F2">
        <v>1</v>
      </c>
    </row>
    <row r="3" spans="1:6" x14ac:dyDescent="0.2">
      <c r="A3">
        <v>2025</v>
      </c>
      <c r="B3">
        <v>1.88</v>
      </c>
      <c r="C3">
        <v>1.88</v>
      </c>
      <c r="D3">
        <v>1.88</v>
      </c>
      <c r="E3">
        <v>1.64</v>
      </c>
      <c r="F3">
        <v>1.1399999999999999</v>
      </c>
    </row>
    <row r="4" spans="1:6" x14ac:dyDescent="0.2">
      <c r="A4">
        <v>2030</v>
      </c>
      <c r="B4">
        <v>1.88</v>
      </c>
      <c r="C4">
        <v>1.88</v>
      </c>
      <c r="D4">
        <v>1.88</v>
      </c>
      <c r="E4">
        <v>1.64</v>
      </c>
      <c r="F4">
        <v>1.1399999999999999</v>
      </c>
    </row>
    <row r="5" spans="1:6" x14ac:dyDescent="0.2">
      <c r="A5">
        <v>2035</v>
      </c>
      <c r="B5">
        <v>1.1299999999999999</v>
      </c>
      <c r="C5">
        <v>1.1299999999999999</v>
      </c>
      <c r="D5">
        <v>1.1299999999999999</v>
      </c>
      <c r="E5">
        <v>1.1200000000000001</v>
      </c>
      <c r="F5">
        <v>1.06</v>
      </c>
    </row>
    <row r="6" spans="1:6" x14ac:dyDescent="0.2">
      <c r="A6">
        <v>2040</v>
      </c>
      <c r="B6">
        <v>1.1299999999999999</v>
      </c>
      <c r="C6">
        <v>1.1299999999999999</v>
      </c>
      <c r="D6">
        <v>1.1299999999999999</v>
      </c>
      <c r="E6">
        <v>1.1200000000000001</v>
      </c>
      <c r="F6">
        <v>1.06</v>
      </c>
    </row>
    <row r="7" spans="1:6" x14ac:dyDescent="0.2">
      <c r="A7">
        <v>2045</v>
      </c>
      <c r="B7">
        <v>1.1299999999999999</v>
      </c>
      <c r="C7">
        <v>1.1299999999999999</v>
      </c>
      <c r="D7">
        <v>1.1299999999999999</v>
      </c>
      <c r="E7">
        <v>1.1200000000000001</v>
      </c>
      <c r="F7">
        <v>1.06</v>
      </c>
    </row>
    <row r="8" spans="1:6" x14ac:dyDescent="0.2">
      <c r="A8">
        <v>2050</v>
      </c>
      <c r="B8">
        <v>1.1299999999999999</v>
      </c>
      <c r="C8">
        <v>1.1299999999999999</v>
      </c>
      <c r="D8">
        <v>1.1299999999999999</v>
      </c>
      <c r="E8">
        <v>1.1200000000000001</v>
      </c>
      <c r="F8">
        <v>1.06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6410A-285A-1B4D-AD90-6A600564CCDB}">
  <dimension ref="A1:F8"/>
  <sheetViews>
    <sheetView workbookViewId="0">
      <selection activeCell="F32" sqref="F32"/>
    </sheetView>
  </sheetViews>
  <sheetFormatPr baseColWidth="10" defaultRowHeight="16" x14ac:dyDescent="0.2"/>
  <sheetData>
    <row r="1" spans="1:6" x14ac:dyDescent="0.2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6</v>
      </c>
    </row>
    <row r="2" spans="1:6" x14ac:dyDescent="0.2">
      <c r="A2">
        <v>2020</v>
      </c>
      <c r="B2">
        <v>1</v>
      </c>
      <c r="C2">
        <v>1</v>
      </c>
      <c r="D2">
        <v>1</v>
      </c>
      <c r="E2">
        <v>1</v>
      </c>
      <c r="F2">
        <v>1</v>
      </c>
    </row>
    <row r="3" spans="1:6" x14ac:dyDescent="0.2">
      <c r="A3">
        <v>2025</v>
      </c>
      <c r="B3">
        <v>1.1299999999999999</v>
      </c>
      <c r="C3">
        <v>1.1299999999999999</v>
      </c>
      <c r="D3">
        <v>1.1299999999999999</v>
      </c>
      <c r="E3">
        <v>1.1200000000000001</v>
      </c>
      <c r="F3">
        <v>1.06</v>
      </c>
    </row>
    <row r="4" spans="1:6" x14ac:dyDescent="0.2">
      <c r="A4">
        <v>2030</v>
      </c>
      <c r="B4">
        <v>1.1299999999999999</v>
      </c>
      <c r="C4">
        <v>1.1299999999999999</v>
      </c>
      <c r="D4">
        <v>1.1299999999999999</v>
      </c>
      <c r="E4">
        <v>1.1200000000000001</v>
      </c>
      <c r="F4">
        <v>1.06</v>
      </c>
    </row>
    <row r="5" spans="1:6" x14ac:dyDescent="0.2">
      <c r="A5">
        <v>2035</v>
      </c>
      <c r="B5">
        <v>1.1299999999999999</v>
      </c>
      <c r="C5">
        <v>1.1299999999999999</v>
      </c>
      <c r="D5">
        <v>1.1299999999999999</v>
      </c>
      <c r="E5">
        <v>1.1200000000000001</v>
      </c>
      <c r="F5">
        <v>1.06</v>
      </c>
    </row>
    <row r="6" spans="1:6" x14ac:dyDescent="0.2">
      <c r="A6">
        <v>2040</v>
      </c>
      <c r="B6">
        <v>1.1299999999999999</v>
      </c>
      <c r="C6">
        <v>1.1299999999999999</v>
      </c>
      <c r="D6">
        <v>1.1299999999999999</v>
      </c>
      <c r="E6">
        <v>1.1200000000000001</v>
      </c>
      <c r="F6">
        <v>1.06</v>
      </c>
    </row>
    <row r="7" spans="1:6" x14ac:dyDescent="0.2">
      <c r="A7">
        <v>2045</v>
      </c>
      <c r="B7">
        <v>1.1299999999999999</v>
      </c>
      <c r="C7">
        <v>1.1299999999999999</v>
      </c>
      <c r="D7">
        <v>1.1299999999999999</v>
      </c>
      <c r="E7">
        <v>1.1200000000000001</v>
      </c>
      <c r="F7">
        <v>1.06</v>
      </c>
    </row>
    <row r="8" spans="1:6" x14ac:dyDescent="0.2">
      <c r="A8">
        <v>2050</v>
      </c>
      <c r="B8">
        <v>1.1299999999999999</v>
      </c>
      <c r="C8">
        <v>1.1299999999999999</v>
      </c>
      <c r="D8">
        <v>1.1299999999999999</v>
      </c>
      <c r="E8">
        <v>1.1200000000000001</v>
      </c>
      <c r="F8">
        <v>1.06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7D4F2-9532-AC4B-A31E-1A61DED13C1B}">
  <dimension ref="A1:F8"/>
  <sheetViews>
    <sheetView tabSelected="1" workbookViewId="0">
      <selection activeCell="I6" sqref="I6"/>
    </sheetView>
  </sheetViews>
  <sheetFormatPr baseColWidth="10" defaultRowHeight="16" x14ac:dyDescent="0.2"/>
  <sheetData>
    <row r="1" spans="1:6" x14ac:dyDescent="0.2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6</v>
      </c>
    </row>
    <row r="2" spans="1:6" x14ac:dyDescent="0.2">
      <c r="A2">
        <v>2020</v>
      </c>
      <c r="B2">
        <v>1</v>
      </c>
      <c r="C2">
        <v>1</v>
      </c>
      <c r="D2">
        <v>1</v>
      </c>
      <c r="E2">
        <v>1</v>
      </c>
      <c r="F2">
        <v>1</v>
      </c>
    </row>
    <row r="3" spans="1:6" x14ac:dyDescent="0.2">
      <c r="A3">
        <v>2025</v>
      </c>
      <c r="B3">
        <v>2</v>
      </c>
      <c r="C3">
        <v>2</v>
      </c>
      <c r="D3">
        <v>2</v>
      </c>
      <c r="E3">
        <v>2</v>
      </c>
      <c r="F3">
        <v>2</v>
      </c>
    </row>
    <row r="4" spans="1:6" x14ac:dyDescent="0.2">
      <c r="A4">
        <v>2030</v>
      </c>
      <c r="B4">
        <v>1.1299999999999999</v>
      </c>
      <c r="C4">
        <v>1.1299999999999999</v>
      </c>
      <c r="D4">
        <v>1.1299999999999999</v>
      </c>
      <c r="E4">
        <v>1.1299999999999999</v>
      </c>
      <c r="F4">
        <v>1.06</v>
      </c>
    </row>
    <row r="5" spans="1:6" x14ac:dyDescent="0.2">
      <c r="A5">
        <v>2035</v>
      </c>
      <c r="B5">
        <v>1.1299999999999999</v>
      </c>
      <c r="C5">
        <v>1.1299999999999999</v>
      </c>
      <c r="D5">
        <v>1.1299999999999999</v>
      </c>
      <c r="E5">
        <v>1.1299999999999999</v>
      </c>
      <c r="F5">
        <v>1.06</v>
      </c>
    </row>
    <row r="6" spans="1:6" x14ac:dyDescent="0.2">
      <c r="A6">
        <v>2040</v>
      </c>
      <c r="B6">
        <v>1.1299999999999999</v>
      </c>
      <c r="C6">
        <v>1.1299999999999999</v>
      </c>
      <c r="D6">
        <v>1.1299999999999999</v>
      </c>
      <c r="E6">
        <v>1.1299999999999999</v>
      </c>
      <c r="F6">
        <v>1.06</v>
      </c>
    </row>
    <row r="7" spans="1:6" x14ac:dyDescent="0.2">
      <c r="A7">
        <v>2045</v>
      </c>
      <c r="B7">
        <v>1.1299999999999999</v>
      </c>
      <c r="C7">
        <v>1.1299999999999999</v>
      </c>
      <c r="D7">
        <v>1.1299999999999999</v>
      </c>
      <c r="E7">
        <v>1.1299999999999999</v>
      </c>
      <c r="F7">
        <v>1.06</v>
      </c>
    </row>
    <row r="8" spans="1:6" x14ac:dyDescent="0.2">
      <c r="A8">
        <v>2050</v>
      </c>
      <c r="B8">
        <v>1.1299999999999999</v>
      </c>
      <c r="C8">
        <v>1.1299999999999999</v>
      </c>
      <c r="D8">
        <v>1.1299999999999999</v>
      </c>
      <c r="E8">
        <v>1.1299999999999999</v>
      </c>
      <c r="F8">
        <v>1.06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AEDC6-D0F2-314D-BC89-A31579160FFD}">
  <dimension ref="A1:F8"/>
  <sheetViews>
    <sheetView workbookViewId="0">
      <selection activeCell="D4" sqref="D4"/>
    </sheetView>
  </sheetViews>
  <sheetFormatPr baseColWidth="10" defaultRowHeight="16" x14ac:dyDescent="0.2"/>
  <sheetData>
    <row r="1" spans="1:6" x14ac:dyDescent="0.2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6</v>
      </c>
    </row>
    <row r="2" spans="1:6" x14ac:dyDescent="0.2">
      <c r="A2">
        <v>2020</v>
      </c>
      <c r="B2">
        <v>1</v>
      </c>
      <c r="C2">
        <v>1</v>
      </c>
      <c r="D2">
        <v>1</v>
      </c>
      <c r="E2">
        <v>1</v>
      </c>
      <c r="F2">
        <v>1</v>
      </c>
    </row>
    <row r="3" spans="1:6" x14ac:dyDescent="0.2">
      <c r="A3">
        <v>2025</v>
      </c>
      <c r="B3">
        <f>1.88*2.5</f>
        <v>4.6999999999999993</v>
      </c>
      <c r="C3">
        <f t="shared" ref="C3:D4" si="0">1.88*2.5</f>
        <v>4.6999999999999993</v>
      </c>
      <c r="D3">
        <f t="shared" si="0"/>
        <v>4.6999999999999993</v>
      </c>
      <c r="E3">
        <f>2.5*1.64</f>
        <v>4.0999999999999996</v>
      </c>
      <c r="F3">
        <v>2.5</v>
      </c>
    </row>
    <row r="4" spans="1:6" x14ac:dyDescent="0.2">
      <c r="A4">
        <v>2030</v>
      </c>
      <c r="B4">
        <f>1.88*2.5</f>
        <v>4.6999999999999993</v>
      </c>
      <c r="C4">
        <f t="shared" si="0"/>
        <v>4.6999999999999993</v>
      </c>
      <c r="D4">
        <f t="shared" si="0"/>
        <v>4.6999999999999993</v>
      </c>
      <c r="E4">
        <f>2.5*1.64</f>
        <v>4.0999999999999996</v>
      </c>
      <c r="F4">
        <v>2.5</v>
      </c>
    </row>
    <row r="5" spans="1:6" x14ac:dyDescent="0.2">
      <c r="A5">
        <v>2035</v>
      </c>
      <c r="B5">
        <f>2.5*1.13</f>
        <v>2.8249999999999997</v>
      </c>
      <c r="C5">
        <f t="shared" ref="C5:D8" si="1">2.5*1.13</f>
        <v>2.8249999999999997</v>
      </c>
      <c r="D5">
        <f t="shared" si="1"/>
        <v>2.8249999999999997</v>
      </c>
      <c r="E5">
        <f>2.5*1.12</f>
        <v>2.8000000000000003</v>
      </c>
      <c r="F5">
        <v>2.2999999999999998</v>
      </c>
    </row>
    <row r="6" spans="1:6" x14ac:dyDescent="0.2">
      <c r="A6">
        <v>2040</v>
      </c>
      <c r="B6">
        <f t="shared" ref="B6:B8" si="2">2.5*1.13</f>
        <v>2.8249999999999997</v>
      </c>
      <c r="C6">
        <f t="shared" si="1"/>
        <v>2.8249999999999997</v>
      </c>
      <c r="D6">
        <f t="shared" si="1"/>
        <v>2.8249999999999997</v>
      </c>
      <c r="E6">
        <f t="shared" ref="E6:E8" si="3">2.5*1.12</f>
        <v>2.8000000000000003</v>
      </c>
      <c r="F6">
        <v>2.2999999999999998</v>
      </c>
    </row>
    <row r="7" spans="1:6" x14ac:dyDescent="0.2">
      <c r="A7">
        <v>2045</v>
      </c>
      <c r="B7">
        <f t="shared" si="2"/>
        <v>2.8249999999999997</v>
      </c>
      <c r="C7">
        <f t="shared" si="1"/>
        <v>2.8249999999999997</v>
      </c>
      <c r="D7">
        <f t="shared" si="1"/>
        <v>2.8249999999999997</v>
      </c>
      <c r="E7">
        <f t="shared" si="3"/>
        <v>2.8000000000000003</v>
      </c>
      <c r="F7">
        <v>2.2999999999999998</v>
      </c>
    </row>
    <row r="8" spans="1:6" x14ac:dyDescent="0.2">
      <c r="A8">
        <v>2050</v>
      </c>
      <c r="B8">
        <f t="shared" si="2"/>
        <v>2.8249999999999997</v>
      </c>
      <c r="C8">
        <f t="shared" si="1"/>
        <v>2.8249999999999997</v>
      </c>
      <c r="D8">
        <f t="shared" si="1"/>
        <v>2.8249999999999997</v>
      </c>
      <c r="E8">
        <f t="shared" si="3"/>
        <v>2.8000000000000003</v>
      </c>
      <c r="F8">
        <v>2.2999999999999998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D3ACA-D2F4-F244-9F9C-304236E3C5E6}">
  <dimension ref="A1:F8"/>
  <sheetViews>
    <sheetView workbookViewId="0">
      <selection activeCell="C6" sqref="C6"/>
    </sheetView>
  </sheetViews>
  <sheetFormatPr baseColWidth="10" defaultRowHeight="16" x14ac:dyDescent="0.2"/>
  <sheetData>
    <row r="1" spans="1:6" x14ac:dyDescent="0.2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6</v>
      </c>
    </row>
    <row r="2" spans="1:6" x14ac:dyDescent="0.2">
      <c r="A2">
        <v>2020</v>
      </c>
      <c r="B2">
        <v>1</v>
      </c>
      <c r="C2">
        <v>1</v>
      </c>
      <c r="D2">
        <v>1</v>
      </c>
      <c r="E2">
        <v>1</v>
      </c>
      <c r="F2">
        <v>1</v>
      </c>
    </row>
    <row r="3" spans="1:6" x14ac:dyDescent="0.2">
      <c r="A3">
        <v>2025</v>
      </c>
      <c r="B3">
        <v>0.86</v>
      </c>
      <c r="C3">
        <v>0.86</v>
      </c>
      <c r="D3">
        <v>0.86</v>
      </c>
      <c r="E3">
        <v>0.9</v>
      </c>
      <c r="F3">
        <v>0.47</v>
      </c>
    </row>
    <row r="4" spans="1:6" x14ac:dyDescent="0.2">
      <c r="A4">
        <v>2030</v>
      </c>
      <c r="B4">
        <v>0.86</v>
      </c>
      <c r="C4">
        <v>0.86</v>
      </c>
      <c r="D4">
        <v>0.86</v>
      </c>
      <c r="E4">
        <v>0.9</v>
      </c>
      <c r="F4">
        <v>0.47</v>
      </c>
    </row>
    <row r="5" spans="1:6" x14ac:dyDescent="0.2">
      <c r="A5">
        <v>2035</v>
      </c>
      <c r="B5">
        <v>0.86</v>
      </c>
      <c r="C5">
        <v>0.86</v>
      </c>
      <c r="D5">
        <v>0.86</v>
      </c>
      <c r="E5">
        <v>0.9</v>
      </c>
      <c r="F5">
        <v>0.47</v>
      </c>
    </row>
    <row r="6" spans="1:6" x14ac:dyDescent="0.2">
      <c r="A6">
        <v>2040</v>
      </c>
      <c r="B6">
        <v>0.86</v>
      </c>
      <c r="C6">
        <v>0.86</v>
      </c>
      <c r="D6">
        <v>0.86</v>
      </c>
      <c r="E6">
        <v>0.9</v>
      </c>
      <c r="F6">
        <v>0.47</v>
      </c>
    </row>
    <row r="7" spans="1:6" x14ac:dyDescent="0.2">
      <c r="A7">
        <v>2045</v>
      </c>
      <c r="B7">
        <v>0.86</v>
      </c>
      <c r="C7">
        <v>0.86</v>
      </c>
      <c r="D7">
        <v>0.86</v>
      </c>
      <c r="E7">
        <v>0.9</v>
      </c>
      <c r="F7">
        <v>0.47</v>
      </c>
    </row>
    <row r="8" spans="1:6" x14ac:dyDescent="0.2">
      <c r="A8">
        <v>2050</v>
      </c>
      <c r="B8">
        <v>0.86</v>
      </c>
      <c r="C8">
        <v>0.86</v>
      </c>
      <c r="D8">
        <v>0.86</v>
      </c>
      <c r="E8">
        <v>0.9</v>
      </c>
      <c r="F8">
        <v>0.47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B6777-83F4-0E40-A8C2-493F42A09BC8}">
  <dimension ref="A1:F8"/>
  <sheetViews>
    <sheetView workbookViewId="0">
      <selection activeCell="F3" sqref="F3:F8"/>
    </sheetView>
  </sheetViews>
  <sheetFormatPr baseColWidth="10" defaultRowHeight="16" x14ac:dyDescent="0.2"/>
  <sheetData>
    <row r="1" spans="1:6" x14ac:dyDescent="0.2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6</v>
      </c>
    </row>
    <row r="2" spans="1:6" x14ac:dyDescent="0.2">
      <c r="A2">
        <v>2020</v>
      </c>
      <c r="B2">
        <v>1</v>
      </c>
      <c r="C2">
        <v>1</v>
      </c>
      <c r="D2">
        <v>1</v>
      </c>
      <c r="E2">
        <v>1</v>
      </c>
      <c r="F2">
        <v>1</v>
      </c>
    </row>
    <row r="3" spans="1:6" x14ac:dyDescent="0.2">
      <c r="A3">
        <v>2025</v>
      </c>
      <c r="B3">
        <v>2.5</v>
      </c>
      <c r="C3">
        <v>2.5</v>
      </c>
      <c r="D3">
        <v>2.5</v>
      </c>
      <c r="E3">
        <v>2.5</v>
      </c>
      <c r="F3">
        <v>2.2000000000000002</v>
      </c>
    </row>
    <row r="4" spans="1:6" x14ac:dyDescent="0.2">
      <c r="A4">
        <v>2030</v>
      </c>
      <c r="B4">
        <v>2.5</v>
      </c>
      <c r="C4">
        <v>2.5</v>
      </c>
      <c r="D4">
        <v>2.5</v>
      </c>
      <c r="E4">
        <v>2.5</v>
      </c>
      <c r="F4">
        <v>2.2000000000000002</v>
      </c>
    </row>
    <row r="5" spans="1:6" x14ac:dyDescent="0.2">
      <c r="A5">
        <v>2035</v>
      </c>
      <c r="B5">
        <v>2.5</v>
      </c>
      <c r="C5">
        <v>2.5</v>
      </c>
      <c r="D5">
        <v>2.5</v>
      </c>
      <c r="E5">
        <v>2.5</v>
      </c>
      <c r="F5">
        <v>2.2000000000000002</v>
      </c>
    </row>
    <row r="6" spans="1:6" x14ac:dyDescent="0.2">
      <c r="A6">
        <v>2040</v>
      </c>
      <c r="B6">
        <v>2.5</v>
      </c>
      <c r="C6">
        <v>2.5</v>
      </c>
      <c r="D6">
        <v>2.5</v>
      </c>
      <c r="E6">
        <v>2.5</v>
      </c>
      <c r="F6">
        <v>2.2000000000000002</v>
      </c>
    </row>
    <row r="7" spans="1:6" x14ac:dyDescent="0.2">
      <c r="A7">
        <v>2045</v>
      </c>
      <c r="B7">
        <v>2.5</v>
      </c>
      <c r="C7">
        <v>2.5</v>
      </c>
      <c r="D7">
        <v>2.5</v>
      </c>
      <c r="E7">
        <v>2.5</v>
      </c>
      <c r="F7">
        <v>2.2000000000000002</v>
      </c>
    </row>
    <row r="8" spans="1:6" x14ac:dyDescent="0.2">
      <c r="A8">
        <v>2050</v>
      </c>
      <c r="B8">
        <v>2.5</v>
      </c>
      <c r="C8">
        <v>2.5</v>
      </c>
      <c r="D8">
        <v>2.5</v>
      </c>
      <c r="E8">
        <v>2.5</v>
      </c>
      <c r="F8">
        <v>2.2000000000000002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15934-C73C-2847-800F-1BF3FABA10B6}">
  <dimension ref="A1:L8"/>
  <sheetViews>
    <sheetView workbookViewId="0">
      <selection activeCell="I1" sqref="I1"/>
    </sheetView>
  </sheetViews>
  <sheetFormatPr baseColWidth="10" defaultRowHeight="16" x14ac:dyDescent="0.2"/>
  <sheetData>
    <row r="1" spans="1:12" x14ac:dyDescent="0.2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4</v>
      </c>
      <c r="G1" t="s">
        <v>6</v>
      </c>
      <c r="H1" t="s">
        <v>7</v>
      </c>
      <c r="I1" t="s">
        <v>10</v>
      </c>
      <c r="J1" t="s">
        <v>11</v>
      </c>
      <c r="K1" t="s">
        <v>8</v>
      </c>
      <c r="L1" t="s">
        <v>9</v>
      </c>
    </row>
    <row r="2" spans="1:12" x14ac:dyDescent="0.2">
      <c r="A2">
        <v>2020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</row>
    <row r="3" spans="1:12" x14ac:dyDescent="0.2">
      <c r="A3">
        <v>2025</v>
      </c>
      <c r="B3">
        <v>1.5</v>
      </c>
      <c r="C3">
        <v>1.5</v>
      </c>
      <c r="D3">
        <v>1.5</v>
      </c>
      <c r="E3">
        <v>1.5</v>
      </c>
      <c r="F3">
        <v>1.5</v>
      </c>
      <c r="G3">
        <v>1.25</v>
      </c>
      <c r="H3">
        <v>1.25</v>
      </c>
      <c r="I3">
        <v>1.25</v>
      </c>
      <c r="J3">
        <v>1.25</v>
      </c>
      <c r="K3">
        <v>1.25</v>
      </c>
      <c r="L3">
        <v>1.25</v>
      </c>
    </row>
    <row r="4" spans="1:12" x14ac:dyDescent="0.2">
      <c r="A4">
        <v>2030</v>
      </c>
      <c r="B4">
        <v>1.5</v>
      </c>
      <c r="C4">
        <v>1.5</v>
      </c>
      <c r="D4">
        <v>1.5</v>
      </c>
      <c r="E4">
        <v>1.5</v>
      </c>
      <c r="F4">
        <v>1.5</v>
      </c>
      <c r="G4">
        <v>1.25</v>
      </c>
      <c r="H4">
        <v>1.25</v>
      </c>
      <c r="I4">
        <v>1.25</v>
      </c>
      <c r="J4">
        <v>1.25</v>
      </c>
      <c r="K4">
        <v>1.25</v>
      </c>
      <c r="L4">
        <v>1.25</v>
      </c>
    </row>
    <row r="5" spans="1:12" x14ac:dyDescent="0.2">
      <c r="A5">
        <v>2035</v>
      </c>
      <c r="B5">
        <v>1.5</v>
      </c>
      <c r="C5">
        <v>1.5</v>
      </c>
      <c r="D5">
        <v>1.5</v>
      </c>
      <c r="E5">
        <v>1.5</v>
      </c>
      <c r="F5">
        <v>1.5</v>
      </c>
      <c r="G5">
        <v>1.25</v>
      </c>
      <c r="H5">
        <v>1.25</v>
      </c>
      <c r="I5">
        <v>1.25</v>
      </c>
      <c r="J5">
        <v>1.25</v>
      </c>
      <c r="K5">
        <v>1.25</v>
      </c>
      <c r="L5">
        <v>1.25</v>
      </c>
    </row>
    <row r="6" spans="1:12" x14ac:dyDescent="0.2">
      <c r="A6">
        <v>2040</v>
      </c>
      <c r="B6">
        <v>1.5</v>
      </c>
      <c r="C6">
        <v>1.5</v>
      </c>
      <c r="D6">
        <v>1.5</v>
      </c>
      <c r="E6">
        <v>1.5</v>
      </c>
      <c r="F6">
        <v>1.5</v>
      </c>
      <c r="G6">
        <v>1.25</v>
      </c>
      <c r="H6">
        <v>1.25</v>
      </c>
      <c r="I6">
        <v>1.25</v>
      </c>
      <c r="J6">
        <v>1.25</v>
      </c>
      <c r="K6">
        <v>1.25</v>
      </c>
      <c r="L6">
        <v>1.25</v>
      </c>
    </row>
    <row r="7" spans="1:12" x14ac:dyDescent="0.2">
      <c r="A7">
        <v>2045</v>
      </c>
      <c r="B7">
        <v>1.5</v>
      </c>
      <c r="C7">
        <v>1.5</v>
      </c>
      <c r="D7">
        <v>1.5</v>
      </c>
      <c r="E7">
        <v>1.5</v>
      </c>
      <c r="F7">
        <v>1.5</v>
      </c>
      <c r="G7">
        <v>1.25</v>
      </c>
      <c r="H7">
        <v>1.25</v>
      </c>
      <c r="I7">
        <v>1.25</v>
      </c>
      <c r="J7">
        <v>1.25</v>
      </c>
      <c r="K7">
        <v>1.25</v>
      </c>
      <c r="L7">
        <v>1.25</v>
      </c>
    </row>
    <row r="8" spans="1:12" x14ac:dyDescent="0.2">
      <c r="A8">
        <v>2050</v>
      </c>
      <c r="B8">
        <v>1.5</v>
      </c>
      <c r="C8">
        <v>1.5</v>
      </c>
      <c r="D8">
        <v>1.5</v>
      </c>
      <c r="E8">
        <v>1.5</v>
      </c>
      <c r="F8">
        <v>1.5</v>
      </c>
      <c r="G8">
        <v>1.25</v>
      </c>
      <c r="H8">
        <v>1.25</v>
      </c>
      <c r="I8">
        <v>1.25</v>
      </c>
      <c r="J8">
        <v>1.25</v>
      </c>
      <c r="K8">
        <v>1.25</v>
      </c>
      <c r="L8">
        <v>1.25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Subsidy_short</vt:lpstr>
      <vt:lpstr>Subsidy</vt:lpstr>
      <vt:lpstr>Tariff_short</vt:lpstr>
      <vt:lpstr>Tariff_wide</vt:lpstr>
      <vt:lpstr>Tariff_current</vt:lpstr>
      <vt:lpstr>Tariff_chaos</vt:lpstr>
      <vt:lpstr>Onshore_supply</vt:lpstr>
      <vt:lpstr>Onshore</vt:lpstr>
      <vt:lpstr>Onshore_random</vt:lpstr>
      <vt:lpstr>Onshore_chaos</vt:lpstr>
      <vt:lpstr>Free</vt:lpstr>
      <vt:lpstr>REF_chaos</vt:lpstr>
      <vt:lpstr>Wind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Haozhe Yang</dc:creator>
  <cp:lastModifiedBy>Haozhe Yang</cp:lastModifiedBy>
  <dcterms:created xsi:type="dcterms:W3CDTF">2024-11-22T19:21:35Z</dcterms:created>
  <dcterms:modified xsi:type="dcterms:W3CDTF">2025-05-30T21:03:25Z</dcterms:modified>
</cp:coreProperties>
</file>