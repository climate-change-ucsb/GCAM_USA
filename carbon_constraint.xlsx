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4174/Documents/GitHub/GCAM_USA/"/>
    </mc:Choice>
  </mc:AlternateContent>
  <xr:revisionPtr revIDLastSave="0" documentId="13_ncr:1_{0637A5C1-B550-2B40-9C26-52386DB86C69}" xr6:coauthVersionLast="47" xr6:coauthVersionMax="47" xr10:uidLastSave="{00000000-0000-0000-0000-000000000000}"/>
  <bookViews>
    <workbookView xWindow="0" yWindow="1600" windowWidth="34560" windowHeight="19660" activeTab="3" xr2:uid="{CD997A8A-CBA1-F948-B390-49E2E92F265C}"/>
  </bookViews>
  <sheets>
    <sheet name="Sheet1" sheetId="1" r:id="rId1"/>
    <sheet name="ROW" sheetId="2" r:id="rId2"/>
    <sheet name="Transport" sheetId="4" r:id="rId3"/>
    <sheet name="Transport_ratio" sheetId="5" r:id="rId4"/>
    <sheet name="Power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D2" i="1"/>
  <c r="E2" i="1"/>
  <c r="F2" i="1"/>
  <c r="G2" i="1"/>
  <c r="H30" i="1" l="1"/>
  <c r="G27" i="1"/>
  <c r="H27" i="1"/>
  <c r="F27" i="1"/>
  <c r="G23" i="1"/>
  <c r="F23" i="1"/>
  <c r="F22" i="1"/>
  <c r="G22" i="1"/>
  <c r="H22" i="1"/>
  <c r="G17" i="1"/>
  <c r="F17" i="1"/>
  <c r="E17" i="1"/>
  <c r="H17" i="1"/>
  <c r="H23" i="1" s="1"/>
  <c r="C3" i="1"/>
  <c r="I3" i="1"/>
  <c r="J3" i="1" s="1"/>
  <c r="I4" i="1"/>
  <c r="I5" i="1"/>
  <c r="I6" i="1"/>
  <c r="I2" i="1"/>
  <c r="C6" i="1"/>
  <c r="C5" i="1"/>
  <c r="C4" i="1"/>
  <c r="J5" i="1" l="1"/>
  <c r="F5" i="1" s="1"/>
  <c r="J6" i="1"/>
  <c r="G6" i="1" s="1"/>
  <c r="F6" i="1" l="1"/>
  <c r="G5" i="1"/>
  <c r="J4" i="1"/>
  <c r="F3" i="1" l="1"/>
  <c r="G3" i="1"/>
  <c r="F4" i="1" l="1"/>
  <c r="G4" i="1"/>
  <c r="H32" i="1" l="1"/>
  <c r="G30" i="1"/>
  <c r="H31" i="1"/>
  <c r="E30" i="1" l="1"/>
  <c r="C30" i="1"/>
  <c r="F30" i="1"/>
  <c r="D30" i="1"/>
</calcChain>
</file>

<file path=xl/sharedStrings.xml><?xml version="1.0" encoding="utf-8"?>
<sst xmlns="http://schemas.openxmlformats.org/spreadsheetml/2006/main" count="36" uniqueCount="21">
  <si>
    <t>scenario</t>
  </si>
  <si>
    <t>trade_base_tariff_short</t>
  </si>
  <si>
    <t>trade_base_tariff_long</t>
  </si>
  <si>
    <t>Emissions</t>
  </si>
  <si>
    <t>trade_base_tariff_current</t>
  </si>
  <si>
    <t>trade_base_stick</t>
  </si>
  <si>
    <t>trade_base_tariff_shock</t>
  </si>
  <si>
    <t>power</t>
  </si>
  <si>
    <t>stick + shock</t>
  </si>
  <si>
    <t>trade base stick</t>
  </si>
  <si>
    <t>2005 CO2 emission</t>
  </si>
  <si>
    <t>EIA</t>
  </si>
  <si>
    <t>Energy-Related Carbon Dioxide Emissions by State, 2005-2016</t>
  </si>
  <si>
    <t>year</t>
  </si>
  <si>
    <t>trade_base_stick_onshore</t>
  </si>
  <si>
    <t>trade_base_stick_onshore_chaos</t>
  </si>
  <si>
    <t>trade_base_stick_tariff_chaos</t>
  </si>
  <si>
    <t>trade_base_stick_tariff_current</t>
  </si>
  <si>
    <t>ratio</t>
  </si>
  <si>
    <t>https://cfpub.epa.gov/ghgdata/inventoryexplorer/#allsectors/allsectors/allgas/gas/all</t>
  </si>
  <si>
    <t>chrome-extension://efaidnbmnnnibpcajpcglclefindmkaj/https://www.energy.gov/articles/microsoft-word-fact-sheet-environment-100808-finaldoc#:~:text=Reduce%20Carbon%20Emissions%2080%20Percent,profitable%20manner%20available%20to%20them.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</si>
</sst>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Helvetica Neue"/>
      <family val="2"/>
    </font>
    <font>
      <b/>
      <sz val="8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48AE-3E3A-F44A-97FA-98DAAA2E2B1D}">
  <dimension ref="A1:J36"/>
  <sheetViews>
    <sheetView topLeftCell="A4" workbookViewId="0">
      <selection activeCell="H15" sqref="H15"/>
    </sheetView>
  </sheetViews>
  <sheetFormatPr baseColWidth="10" defaultRowHeight="16" x14ac:dyDescent="0.2"/>
  <cols>
    <col min="1" max="1" width="23.5" customWidth="1"/>
  </cols>
  <sheetData>
    <row r="1" spans="1:10" x14ac:dyDescent="0.2">
      <c r="A1" t="s">
        <v>0</v>
      </c>
      <c r="B1" t="s">
        <v>3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10" x14ac:dyDescent="0.2">
      <c r="A2" t="s">
        <v>5</v>
      </c>
      <c r="B2" s="2">
        <v>1100.155047</v>
      </c>
      <c r="C2">
        <f>$B$13+($H$13-$B$13)/6</f>
        <v>0</v>
      </c>
      <c r="D2">
        <f>$B$13+($H$13-$B$13)/6*2</f>
        <v>0</v>
      </c>
      <c r="E2">
        <f>$B$13+($H$13-$B$13)/6*3</f>
        <v>0</v>
      </c>
      <c r="F2">
        <f>$B$13+($H$13-$B$13)/6*4</f>
        <v>0</v>
      </c>
      <c r="G2">
        <f>$B$13+($H$13-$B$13)/6*5</f>
        <v>0</v>
      </c>
      <c r="H2">
        <v>1200</v>
      </c>
      <c r="I2">
        <f>SUM(C$2:H$2)</f>
        <v>1200</v>
      </c>
    </row>
    <row r="3" spans="1:10" x14ac:dyDescent="0.2">
      <c r="A3" t="s">
        <v>4</v>
      </c>
      <c r="B3">
        <v>1195.99345726004</v>
      </c>
      <c r="C3">
        <f>B3*44/12</f>
        <v>4385.3093432868136</v>
      </c>
      <c r="F3">
        <f>C3-J3</f>
        <v>1661.7697810956047</v>
      </c>
      <c r="G3">
        <f>C3-J3*2</f>
        <v>-1061.7697810956042</v>
      </c>
      <c r="H3">
        <v>1200</v>
      </c>
      <c r="I3">
        <f t="shared" ref="I3:I6" si="0">SUM(C$2:H$2)</f>
        <v>1200</v>
      </c>
      <c r="J3">
        <f>(4*C3-I3)/6</f>
        <v>2723.5395621912089</v>
      </c>
    </row>
    <row r="4" spans="1:10" x14ac:dyDescent="0.2">
      <c r="A4" t="s">
        <v>1</v>
      </c>
      <c r="B4">
        <v>1193.0244172581199</v>
      </c>
      <c r="C4">
        <f>B4*44/12</f>
        <v>4374.4228632797731</v>
      </c>
      <c r="F4">
        <f>C4-J4</f>
        <v>1658.1409544265912</v>
      </c>
      <c r="G4">
        <f>C4-J4*2</f>
        <v>-1058.1409544265907</v>
      </c>
      <c r="H4">
        <v>1200</v>
      </c>
      <c r="I4">
        <f t="shared" si="0"/>
        <v>1200</v>
      </c>
      <c r="J4">
        <f>(4*C4-I4)/6</f>
        <v>2716.2819088531819</v>
      </c>
    </row>
    <row r="5" spans="1:10" x14ac:dyDescent="0.2">
      <c r="A5" t="s">
        <v>2</v>
      </c>
      <c r="B5">
        <v>1193.3540241457999</v>
      </c>
      <c r="C5">
        <f>B5*44/12</f>
        <v>4375.6314218679336</v>
      </c>
      <c r="F5">
        <f>C5-J5</f>
        <v>1658.5438072893112</v>
      </c>
      <c r="G5">
        <f>C5-J5*2</f>
        <v>-1058.5438072893112</v>
      </c>
      <c r="H5">
        <v>1200</v>
      </c>
      <c r="I5">
        <f t="shared" si="0"/>
        <v>1200</v>
      </c>
      <c r="J5">
        <f>(4*C5-I5)/6</f>
        <v>2717.0876145786224</v>
      </c>
    </row>
    <row r="6" spans="1:10" x14ac:dyDescent="0.2">
      <c r="A6" t="s">
        <v>6</v>
      </c>
      <c r="B6">
        <v>1196.7276808915601</v>
      </c>
      <c r="C6">
        <f>B6*44/12</f>
        <v>4388.0014966023873</v>
      </c>
      <c r="F6">
        <f>C6-J6</f>
        <v>1662.6671655341293</v>
      </c>
      <c r="G6">
        <f>C6-J6*2</f>
        <v>-1062.6671655341288</v>
      </c>
      <c r="H6">
        <v>1200</v>
      </c>
      <c r="I6">
        <f t="shared" si="0"/>
        <v>1200</v>
      </c>
      <c r="J6">
        <f>(4*C6-I6)/6</f>
        <v>2725.3343310682581</v>
      </c>
    </row>
    <row r="10" spans="1:10" x14ac:dyDescent="0.2">
      <c r="B10">
        <v>2020</v>
      </c>
      <c r="C10">
        <v>2025</v>
      </c>
      <c r="D10">
        <v>2030</v>
      </c>
      <c r="E10">
        <v>2035</v>
      </c>
      <c r="F10">
        <v>2040</v>
      </c>
      <c r="G10">
        <v>2045</v>
      </c>
      <c r="H10">
        <v>2050</v>
      </c>
    </row>
    <row r="11" spans="1:10" x14ac:dyDescent="0.2">
      <c r="A11" t="s">
        <v>5</v>
      </c>
      <c r="D11">
        <v>3519.9981998241951</v>
      </c>
      <c r="E11">
        <v>2935.9998643424074</v>
      </c>
      <c r="F11">
        <v>2351.0005296552958</v>
      </c>
      <c r="G11">
        <v>1765.9876117956017</v>
      </c>
      <c r="H11">
        <v>1182.0006212248591</v>
      </c>
    </row>
    <row r="13" spans="1:10" x14ac:dyDescent="0.2">
      <c r="B13" s="1"/>
    </row>
    <row r="16" spans="1:10" x14ac:dyDescent="0.2">
      <c r="E16">
        <v>2035</v>
      </c>
    </row>
    <row r="17" spans="1:8" x14ac:dyDescent="0.2">
      <c r="E17">
        <f>B2*44/12</f>
        <v>4033.9018390000001</v>
      </c>
      <c r="F17">
        <f>F18*44/12</f>
        <v>3100.0002865333336</v>
      </c>
      <c r="G17">
        <f>G18*44/12</f>
        <v>2150.0012849333334</v>
      </c>
      <c r="H17" t="e">
        <f>#REF!</f>
        <v>#REF!</v>
      </c>
    </row>
    <row r="18" spans="1:8" x14ac:dyDescent="0.2">
      <c r="F18">
        <v>845.45462359999999</v>
      </c>
      <c r="G18">
        <v>586.36398680000002</v>
      </c>
      <c r="H18">
        <v>327.27296410000002</v>
      </c>
    </row>
    <row r="21" spans="1:8" x14ac:dyDescent="0.2">
      <c r="A21" t="s">
        <v>7</v>
      </c>
      <c r="F21">
        <v>170</v>
      </c>
      <c r="G21">
        <v>85</v>
      </c>
      <c r="H21">
        <v>0</v>
      </c>
    </row>
    <row r="22" spans="1:8" x14ac:dyDescent="0.2">
      <c r="F22">
        <f t="shared" ref="F22:G22" si="1">F21*44/12</f>
        <v>623.33333333333337</v>
      </c>
      <c r="G22">
        <f t="shared" si="1"/>
        <v>311.66666666666669</v>
      </c>
      <c r="H22">
        <f>H21*44/12</f>
        <v>0</v>
      </c>
    </row>
    <row r="23" spans="1:8" x14ac:dyDescent="0.2">
      <c r="F23">
        <f>F17-F22</f>
        <v>2476.6669532000001</v>
      </c>
      <c r="G23">
        <f t="shared" ref="G23:H23" si="2">G17-G22</f>
        <v>1838.3346182666667</v>
      </c>
      <c r="H23" t="e">
        <f t="shared" si="2"/>
        <v>#REF!</v>
      </c>
    </row>
    <row r="26" spans="1:8" x14ac:dyDescent="0.2">
      <c r="A26" t="s">
        <v>8</v>
      </c>
      <c r="F26">
        <v>3114</v>
      </c>
      <c r="G26">
        <v>2128</v>
      </c>
      <c r="H26">
        <v>1141</v>
      </c>
    </row>
    <row r="27" spans="1:8" x14ac:dyDescent="0.2">
      <c r="F27">
        <f>F26-F22</f>
        <v>2490.6666666666665</v>
      </c>
      <c r="G27">
        <f t="shared" ref="G27:H27" si="3">G26-G22</f>
        <v>1816.3333333333333</v>
      </c>
      <c r="H27">
        <f t="shared" si="3"/>
        <v>1141</v>
      </c>
    </row>
    <row r="29" spans="1:8" x14ac:dyDescent="0.2">
      <c r="B29">
        <v>2020</v>
      </c>
      <c r="C29">
        <v>2025</v>
      </c>
      <c r="D29">
        <v>2030</v>
      </c>
      <c r="E29">
        <v>2035</v>
      </c>
      <c r="F29">
        <v>2040</v>
      </c>
      <c r="G29">
        <v>2045</v>
      </c>
      <c r="H29">
        <v>2050</v>
      </c>
    </row>
    <row r="30" spans="1:8" x14ac:dyDescent="0.2">
      <c r="A30" t="s">
        <v>9</v>
      </c>
      <c r="B30">
        <v>4689</v>
      </c>
      <c r="C30">
        <f>$B30-$H$32*C31</f>
        <v>4104.5533333333333</v>
      </c>
      <c r="D30">
        <f t="shared" ref="D30:G30" si="4">$B30-$H$32*D31</f>
        <v>3520.1066666666666</v>
      </c>
      <c r="E30">
        <f t="shared" si="4"/>
        <v>2935.6600000000003</v>
      </c>
      <c r="F30">
        <f t="shared" si="4"/>
        <v>2351.2133333333336</v>
      </c>
      <c r="G30">
        <f t="shared" si="4"/>
        <v>1766.7666666666669</v>
      </c>
      <c r="H30">
        <f>C32*0.2</f>
        <v>1182.3200000000002</v>
      </c>
    </row>
    <row r="31" spans="1:8" x14ac:dyDescent="0.2">
      <c r="C31">
        <v>1</v>
      </c>
      <c r="D31">
        <v>2</v>
      </c>
      <c r="E31">
        <v>3</v>
      </c>
      <c r="F31">
        <v>4</v>
      </c>
      <c r="G31">
        <v>5</v>
      </c>
      <c r="H31">
        <f>G30-H30</f>
        <v>584.44666666666672</v>
      </c>
    </row>
    <row r="32" spans="1:8" x14ac:dyDescent="0.2">
      <c r="A32" t="s">
        <v>10</v>
      </c>
      <c r="B32" t="s">
        <v>11</v>
      </c>
      <c r="C32">
        <v>5911.6</v>
      </c>
      <c r="H32">
        <f>(B30-H30)/6</f>
        <v>584.4466666666666</v>
      </c>
    </row>
    <row r="33" spans="1:3" x14ac:dyDescent="0.2">
      <c r="B33" s="3" t="s">
        <v>12</v>
      </c>
    </row>
    <row r="35" spans="1:3" x14ac:dyDescent="0.2">
      <c r="A35" t="s">
        <v>19</v>
      </c>
      <c r="B35">
        <v>1990</v>
      </c>
      <c r="C35">
        <v>5131</v>
      </c>
    </row>
    <row r="36" spans="1:3" x14ac:dyDescent="0.2">
      <c r="A36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D9BAC-F44A-B042-8606-39BF092488C6}">
  <dimension ref="A1:F5"/>
  <sheetViews>
    <sheetView zoomScale="98" workbookViewId="0">
      <selection activeCell="E42" sqref="E42"/>
    </sheetView>
  </sheetViews>
  <sheetFormatPr baseColWidth="10" defaultRowHeight="16" x14ac:dyDescent="0.2"/>
  <sheetData>
    <row r="1" spans="1:6" x14ac:dyDescent="0.2">
      <c r="A1" t="s">
        <v>13</v>
      </c>
      <c r="B1" t="s">
        <v>5</v>
      </c>
      <c r="C1" t="s">
        <v>17</v>
      </c>
      <c r="D1" t="s">
        <v>16</v>
      </c>
      <c r="E1" t="s">
        <v>14</v>
      </c>
      <c r="F1" t="s">
        <v>15</v>
      </c>
    </row>
    <row r="2" spans="1:6" x14ac:dyDescent="0.2">
      <c r="A2">
        <v>2035</v>
      </c>
      <c r="B2">
        <v>1047</v>
      </c>
      <c r="C2">
        <v>979</v>
      </c>
      <c r="D2">
        <v>979</v>
      </c>
      <c r="E2">
        <v>982</v>
      </c>
      <c r="F2">
        <v>980</v>
      </c>
    </row>
    <row r="3" spans="1:6" x14ac:dyDescent="0.2">
      <c r="A3">
        <v>2040</v>
      </c>
      <c r="B3">
        <v>233</v>
      </c>
      <c r="C3">
        <v>227</v>
      </c>
      <c r="D3">
        <v>227</v>
      </c>
      <c r="E3">
        <v>229</v>
      </c>
      <c r="F3">
        <v>228</v>
      </c>
    </row>
    <row r="4" spans="1:6" x14ac:dyDescent="0.2">
      <c r="A4">
        <v>2045</v>
      </c>
      <c r="B4">
        <v>-581</v>
      </c>
      <c r="C4">
        <v>-525</v>
      </c>
      <c r="D4">
        <v>-525</v>
      </c>
      <c r="E4">
        <v>-524</v>
      </c>
      <c r="F4">
        <v>-525</v>
      </c>
    </row>
    <row r="5" spans="1:6" x14ac:dyDescent="0.2">
      <c r="A5">
        <v>2050</v>
      </c>
      <c r="B5">
        <v>-1277</v>
      </c>
      <c r="C5">
        <v>-1277</v>
      </c>
      <c r="D5">
        <v>-1277</v>
      </c>
      <c r="E5">
        <v>-1277</v>
      </c>
      <c r="F5">
        <v>-1277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D6581-ABE0-894C-862F-B3238A3B1F0E}">
  <dimension ref="A1:F5"/>
  <sheetViews>
    <sheetView workbookViewId="0">
      <selection sqref="A1:A5"/>
    </sheetView>
  </sheetViews>
  <sheetFormatPr baseColWidth="10" defaultRowHeight="16" x14ac:dyDescent="0.2"/>
  <sheetData>
    <row r="1" spans="1:6" x14ac:dyDescent="0.2">
      <c r="A1" t="s">
        <v>13</v>
      </c>
      <c r="B1" t="s">
        <v>5</v>
      </c>
      <c r="C1" t="s">
        <v>17</v>
      </c>
      <c r="D1" t="s">
        <v>16</v>
      </c>
      <c r="E1" t="s">
        <v>14</v>
      </c>
      <c r="F1" t="s">
        <v>15</v>
      </c>
    </row>
    <row r="2" spans="1:6" x14ac:dyDescent="0.2">
      <c r="A2">
        <v>2035</v>
      </c>
      <c r="B2">
        <v>1349</v>
      </c>
      <c r="C2">
        <v>1344</v>
      </c>
      <c r="D2">
        <v>1326</v>
      </c>
      <c r="E2">
        <v>1341</v>
      </c>
      <c r="F2">
        <v>1322</v>
      </c>
    </row>
    <row r="3" spans="1:6" x14ac:dyDescent="0.2">
      <c r="A3">
        <v>2040</v>
      </c>
      <c r="B3">
        <v>1268</v>
      </c>
      <c r="C3">
        <v>1265</v>
      </c>
      <c r="D3">
        <v>1253</v>
      </c>
      <c r="E3">
        <v>1263</v>
      </c>
      <c r="F3">
        <v>1251</v>
      </c>
    </row>
    <row r="4" spans="1:6" x14ac:dyDescent="0.2">
      <c r="A4">
        <v>2045</v>
      </c>
      <c r="B4">
        <v>1188</v>
      </c>
      <c r="C4">
        <v>1186</v>
      </c>
      <c r="D4">
        <v>1180</v>
      </c>
      <c r="E4">
        <v>1185</v>
      </c>
      <c r="F4">
        <v>1179</v>
      </c>
    </row>
    <row r="5" spans="1:6" x14ac:dyDescent="0.2">
      <c r="A5">
        <v>2050</v>
      </c>
      <c r="B5">
        <v>1107</v>
      </c>
      <c r="C5">
        <v>1107</v>
      </c>
      <c r="D5">
        <v>1107</v>
      </c>
      <c r="E5">
        <v>1107</v>
      </c>
      <c r="F5">
        <v>1107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D6E32-F026-184F-94F0-1DE218253176}">
  <dimension ref="A1:B8"/>
  <sheetViews>
    <sheetView tabSelected="1" workbookViewId="0">
      <selection activeCell="B2" sqref="B2:B8"/>
    </sheetView>
  </sheetViews>
  <sheetFormatPr baseColWidth="10" defaultRowHeight="16" x14ac:dyDescent="0.2"/>
  <sheetData>
    <row r="1" spans="1:2" x14ac:dyDescent="0.2">
      <c r="A1" t="s">
        <v>13</v>
      </c>
      <c r="B1" t="s">
        <v>18</v>
      </c>
    </row>
    <row r="2" spans="1:2" x14ac:dyDescent="0.2">
      <c r="A2">
        <v>2020</v>
      </c>
      <c r="B2">
        <v>0.95502441217969603</v>
      </c>
    </row>
    <row r="3" spans="1:2" x14ac:dyDescent="0.2">
      <c r="A3">
        <v>2025</v>
      </c>
      <c r="B3">
        <v>0.9550128662692976</v>
      </c>
    </row>
    <row r="4" spans="1:2" x14ac:dyDescent="0.2">
      <c r="A4">
        <v>2030</v>
      </c>
      <c r="B4">
        <v>0.95413516411177735</v>
      </c>
    </row>
    <row r="5" spans="1:2" x14ac:dyDescent="0.2">
      <c r="A5">
        <v>2035</v>
      </c>
      <c r="B5">
        <v>0.89040295010299508</v>
      </c>
    </row>
    <row r="6" spans="1:2" x14ac:dyDescent="0.2">
      <c r="A6">
        <v>2040</v>
      </c>
      <c r="B6">
        <v>0.76418774398103828</v>
      </c>
    </row>
    <row r="7" spans="1:2" x14ac:dyDescent="0.2">
      <c r="A7">
        <v>2045</v>
      </c>
      <c r="B7">
        <v>0.62734636716359615</v>
      </c>
    </row>
    <row r="8" spans="1:2" x14ac:dyDescent="0.2">
      <c r="A8">
        <v>2050</v>
      </c>
      <c r="B8">
        <v>0.52227730124071803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77EE-A884-3247-830B-2433765EFEA2}">
  <dimension ref="A1:F5"/>
  <sheetViews>
    <sheetView workbookViewId="0">
      <selection activeCell="B2" sqref="B2:F5"/>
    </sheetView>
  </sheetViews>
  <sheetFormatPr baseColWidth="10" defaultRowHeight="16" x14ac:dyDescent="0.2"/>
  <sheetData>
    <row r="1" spans="1:6" x14ac:dyDescent="0.2">
      <c r="A1" t="s">
        <v>13</v>
      </c>
      <c r="B1" t="s">
        <v>5</v>
      </c>
      <c r="C1" t="s">
        <v>17</v>
      </c>
      <c r="D1" t="s">
        <v>16</v>
      </c>
      <c r="E1" t="s">
        <v>14</v>
      </c>
      <c r="F1" t="s">
        <v>15</v>
      </c>
    </row>
    <row r="2" spans="1:6" x14ac:dyDescent="0.2">
      <c r="A2">
        <v>2035</v>
      </c>
      <c r="B2">
        <v>89</v>
      </c>
      <c r="C2">
        <v>84</v>
      </c>
      <c r="D2">
        <v>86</v>
      </c>
      <c r="E2">
        <v>85</v>
      </c>
      <c r="F2">
        <v>86</v>
      </c>
    </row>
    <row r="3" spans="1:6" x14ac:dyDescent="0.2">
      <c r="A3">
        <v>2040</v>
      </c>
      <c r="B3">
        <v>59</v>
      </c>
      <c r="C3">
        <v>56</v>
      </c>
      <c r="D3">
        <v>57</v>
      </c>
      <c r="E3">
        <v>57</v>
      </c>
      <c r="F3">
        <v>58</v>
      </c>
    </row>
    <row r="4" spans="1:6" x14ac:dyDescent="0.2">
      <c r="A4">
        <v>2045</v>
      </c>
      <c r="B4">
        <v>30</v>
      </c>
      <c r="C4">
        <v>28</v>
      </c>
      <c r="D4">
        <v>29</v>
      </c>
      <c r="E4">
        <v>28</v>
      </c>
      <c r="F4">
        <v>29</v>
      </c>
    </row>
    <row r="5" spans="1:6" x14ac:dyDescent="0.2">
      <c r="A5">
        <v>2050</v>
      </c>
      <c r="B5">
        <v>0</v>
      </c>
      <c r="C5">
        <v>0</v>
      </c>
      <c r="D5">
        <v>0</v>
      </c>
      <c r="E5">
        <v>0</v>
      </c>
      <c r="F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ROW</vt:lpstr>
      <vt:lpstr>Transport</vt:lpstr>
      <vt:lpstr>Transport_ratio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Haozhe Yang</dc:creator>
  <cp:lastModifiedBy>Haozhe Yang</cp:lastModifiedBy>
  <dcterms:created xsi:type="dcterms:W3CDTF">2024-12-20T18:48:37Z</dcterms:created>
  <dcterms:modified xsi:type="dcterms:W3CDTF">2025-04-14T00:58:45Z</dcterms:modified>
</cp:coreProperties>
</file>