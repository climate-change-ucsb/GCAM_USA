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4174/Documents/GitHub/GCAM_USA/"/>
    </mc:Choice>
  </mc:AlternateContent>
  <xr:revisionPtr revIDLastSave="0" documentId="13_ncr:1_{F0ADA38F-5F63-1941-99DE-A7B24E92894F}" xr6:coauthVersionLast="47" xr6:coauthVersionMax="47" xr10:uidLastSave="{00000000-0000-0000-0000-000000000000}"/>
  <bookViews>
    <workbookView xWindow="34600" yWindow="1840" windowWidth="26200" windowHeight="16440" xr2:uid="{CD997A8A-CBA1-F948-B390-49E2E92F2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G30" i="1" s="1"/>
  <c r="E30" i="1"/>
  <c r="D30" i="1"/>
  <c r="C30" i="1"/>
  <c r="B30" i="1"/>
  <c r="G27" i="1"/>
  <c r="H27" i="1"/>
  <c r="F27" i="1"/>
  <c r="G23" i="1"/>
  <c r="H23" i="1"/>
  <c r="F23" i="1"/>
  <c r="F22" i="1"/>
  <c r="G22" i="1"/>
  <c r="H22" i="1"/>
  <c r="G17" i="1"/>
  <c r="F17" i="1"/>
  <c r="E17" i="1"/>
  <c r="H17" i="1"/>
  <c r="H12" i="1"/>
  <c r="J3" i="1"/>
  <c r="C2" i="1"/>
  <c r="C3" i="1"/>
  <c r="I3" i="1"/>
  <c r="I4" i="1"/>
  <c r="I5" i="1"/>
  <c r="I6" i="1"/>
  <c r="I2" i="1"/>
  <c r="G2" i="1"/>
  <c r="F2" i="1"/>
  <c r="E2" i="1"/>
  <c r="D2" i="1"/>
  <c r="G13" i="1"/>
  <c r="F13" i="1"/>
  <c r="E13" i="1"/>
  <c r="D13" i="1"/>
  <c r="C13" i="1"/>
  <c r="C6" i="1"/>
  <c r="C5" i="1"/>
  <c r="C4" i="1"/>
  <c r="F30" i="1" l="1"/>
  <c r="J5" i="1"/>
  <c r="F5" i="1" s="1"/>
  <c r="J6" i="1"/>
  <c r="G6" i="1" s="1"/>
  <c r="F6" i="1" l="1"/>
  <c r="G5" i="1"/>
  <c r="J4" i="1"/>
  <c r="F3" i="1" l="1"/>
  <c r="G3" i="1"/>
  <c r="F4" i="1" l="1"/>
  <c r="G4" i="1"/>
</calcChain>
</file>

<file path=xl/sharedStrings.xml><?xml version="1.0" encoding="utf-8"?>
<sst xmlns="http://schemas.openxmlformats.org/spreadsheetml/2006/main" count="15" uniqueCount="14">
  <si>
    <t>scenario</t>
  </si>
  <si>
    <t>trade_base_tariff_short</t>
  </si>
  <si>
    <t>trade_base_tariff_long</t>
  </si>
  <si>
    <t>Emissions</t>
  </si>
  <si>
    <t>trade_base_tariff_current</t>
  </si>
  <si>
    <t>trade_base_stick</t>
  </si>
  <si>
    <t>trade_base_tariff_shock</t>
  </si>
  <si>
    <t>stick</t>
  </si>
  <si>
    <t>power</t>
  </si>
  <si>
    <t>stick + shock</t>
  </si>
  <si>
    <t>trade base stick</t>
  </si>
  <si>
    <t>2005 CO2 emission</t>
  </si>
  <si>
    <t>EIA</t>
  </si>
  <si>
    <t>Energy-Related Carbon Dioxide Emissions by State, 2005-2016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</si>
</sst>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48AE-3E3A-F44A-97FA-98DAAA2E2B1D}">
  <dimension ref="A1:J33"/>
  <sheetViews>
    <sheetView tabSelected="1" workbookViewId="0">
      <selection activeCell="D30" sqref="D30"/>
    </sheetView>
  </sheetViews>
  <sheetFormatPr baseColWidth="10" defaultRowHeight="16" x14ac:dyDescent="0.2"/>
  <cols>
    <col min="1" max="1" width="23.5" customWidth="1"/>
  </cols>
  <sheetData>
    <row r="1" spans="1:10" x14ac:dyDescent="0.2">
      <c r="A1" t="s">
        <v>0</v>
      </c>
      <c r="B1" t="s">
        <v>3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</row>
    <row r="2" spans="1:10" x14ac:dyDescent="0.2">
      <c r="A2" t="s">
        <v>5</v>
      </c>
      <c r="B2" s="2">
        <v>1100.155047</v>
      </c>
      <c r="C2">
        <f>$B$13+($H$13-$B$13)/6</f>
        <v>3887.5</v>
      </c>
      <c r="D2">
        <f>$B$13+($H$13-$B$13)/6*2</f>
        <v>3350</v>
      </c>
      <c r="E2">
        <f>$B$13+($H$13-$B$13)/6*3</f>
        <v>2812.5</v>
      </c>
      <c r="F2">
        <f>$B$13+($H$13-$B$13)/6*4</f>
        <v>2275</v>
      </c>
      <c r="G2">
        <f>$B$13+($H$13-$B$13)/6*5</f>
        <v>1737.5</v>
      </c>
      <c r="H2">
        <v>1200</v>
      </c>
      <c r="I2">
        <f>SUM(C$2:H$2)</f>
        <v>15262.5</v>
      </c>
    </row>
    <row r="3" spans="1:10" x14ac:dyDescent="0.2">
      <c r="A3" t="s">
        <v>4</v>
      </c>
      <c r="B3">
        <v>1195.99345726004</v>
      </c>
      <c r="C3">
        <f>B3*44/12</f>
        <v>4385.3093432868136</v>
      </c>
      <c r="F3">
        <f>C3-J3</f>
        <v>4005.5197810956047</v>
      </c>
      <c r="G3">
        <f>C3-J3*2</f>
        <v>3625.7302189043953</v>
      </c>
      <c r="H3">
        <v>1200</v>
      </c>
      <c r="I3">
        <f t="shared" ref="I3:I6" si="0">SUM(C$2:H$2)</f>
        <v>15262.5</v>
      </c>
      <c r="J3">
        <f>(4*C3-I3)/6</f>
        <v>379.78956219120909</v>
      </c>
    </row>
    <row r="4" spans="1:10" x14ac:dyDescent="0.2">
      <c r="A4" t="s">
        <v>1</v>
      </c>
      <c r="B4">
        <v>1193.0244172581199</v>
      </c>
      <c r="C4">
        <f>B4*44/12</f>
        <v>4374.4228632797731</v>
      </c>
      <c r="F4">
        <f>C4-J4</f>
        <v>4001.8909544265912</v>
      </c>
      <c r="G4">
        <f>C4-J4*2</f>
        <v>3629.3590455734088</v>
      </c>
      <c r="H4">
        <v>1200</v>
      </c>
      <c r="I4">
        <f t="shared" si="0"/>
        <v>15262.5</v>
      </c>
      <c r="J4">
        <f>(4*C4-I4)/6</f>
        <v>372.53190885318207</v>
      </c>
    </row>
    <row r="5" spans="1:10" x14ac:dyDescent="0.2">
      <c r="A5" t="s">
        <v>2</v>
      </c>
      <c r="B5">
        <v>1193.3540241457999</v>
      </c>
      <c r="C5">
        <f>B5*44/12</f>
        <v>4375.6314218679336</v>
      </c>
      <c r="F5">
        <f>C5-J5</f>
        <v>4002.2938072893112</v>
      </c>
      <c r="G5">
        <f>C5-J5*2</f>
        <v>3628.9561927106888</v>
      </c>
      <c r="H5">
        <v>1200</v>
      </c>
      <c r="I5">
        <f t="shared" si="0"/>
        <v>15262.5</v>
      </c>
      <c r="J5">
        <f>(4*C5-I5)/6</f>
        <v>373.33761457862238</v>
      </c>
    </row>
    <row r="6" spans="1:10" x14ac:dyDescent="0.2">
      <c r="A6" t="s">
        <v>6</v>
      </c>
      <c r="B6">
        <v>1196.7276808915601</v>
      </c>
      <c r="C6">
        <f>B6*44/12</f>
        <v>4388.0014966023873</v>
      </c>
      <c r="F6">
        <f>C6-J6</f>
        <v>4006.4171655341293</v>
      </c>
      <c r="G6">
        <f>C6-J6*2</f>
        <v>3624.8328344658707</v>
      </c>
      <c r="H6">
        <v>1200</v>
      </c>
      <c r="I6">
        <f t="shared" si="0"/>
        <v>15262.5</v>
      </c>
      <c r="J6">
        <f>(4*C6-I6)/6</f>
        <v>381.58433106825822</v>
      </c>
    </row>
    <row r="10" spans="1:10" x14ac:dyDescent="0.2">
      <c r="B10">
        <v>2020</v>
      </c>
      <c r="C10">
        <v>2025</v>
      </c>
      <c r="D10">
        <v>2030</v>
      </c>
      <c r="E10">
        <v>2035</v>
      </c>
      <c r="F10">
        <v>2040</v>
      </c>
      <c r="G10">
        <v>2045</v>
      </c>
      <c r="H10">
        <v>2050</v>
      </c>
    </row>
    <row r="11" spans="1:10" x14ac:dyDescent="0.2">
      <c r="A11" t="s">
        <v>5</v>
      </c>
      <c r="E11">
        <v>1100.1550466245901</v>
      </c>
      <c r="F11">
        <v>845.45462362010596</v>
      </c>
      <c r="G11">
        <v>586.36398681346498</v>
      </c>
      <c r="H11">
        <v>327.27296406316299</v>
      </c>
    </row>
    <row r="12" spans="1:10" x14ac:dyDescent="0.2">
      <c r="H12">
        <f>H11*44/12</f>
        <v>1200.0008682315977</v>
      </c>
    </row>
    <row r="13" spans="1:10" x14ac:dyDescent="0.2">
      <c r="A13" t="s">
        <v>7</v>
      </c>
      <c r="B13" s="1">
        <v>4425</v>
      </c>
      <c r="C13">
        <f>$B$13+($H$13-$B$13)/6</f>
        <v>3887.5</v>
      </c>
      <c r="D13">
        <f>$B$13+($H$13-$B$13)/6*2</f>
        <v>3350</v>
      </c>
      <c r="E13">
        <f>$B$13+($H$13-$B$13)/6*3</f>
        <v>2812.5</v>
      </c>
      <c r="F13">
        <f>$B$13+($H$13-$B$13)/6*4</f>
        <v>2275</v>
      </c>
      <c r="G13">
        <f>$B$13+($H$13-$B$13)/6*5</f>
        <v>1737.5</v>
      </c>
      <c r="H13">
        <v>1200</v>
      </c>
    </row>
    <row r="16" spans="1:10" x14ac:dyDescent="0.2">
      <c r="E16">
        <v>2035</v>
      </c>
    </row>
    <row r="17" spans="1:8" x14ac:dyDescent="0.2">
      <c r="E17">
        <f>B2*44/12</f>
        <v>4033.9018390000001</v>
      </c>
      <c r="F17">
        <f>F18*44/12</f>
        <v>3100.0002865333336</v>
      </c>
      <c r="G17">
        <f>G18*44/12</f>
        <v>2150.0012849333334</v>
      </c>
      <c r="H17">
        <f>H12</f>
        <v>1200.0008682315977</v>
      </c>
    </row>
    <row r="18" spans="1:8" x14ac:dyDescent="0.2">
      <c r="F18">
        <v>845.45462359999999</v>
      </c>
      <c r="G18">
        <v>586.36398680000002</v>
      </c>
      <c r="H18">
        <v>327.27296410000002</v>
      </c>
    </row>
    <row r="21" spans="1:8" x14ac:dyDescent="0.2">
      <c r="A21" t="s">
        <v>8</v>
      </c>
      <c r="F21">
        <v>170</v>
      </c>
      <c r="G21">
        <v>85</v>
      </c>
      <c r="H21">
        <v>0</v>
      </c>
    </row>
    <row r="22" spans="1:8" x14ac:dyDescent="0.2">
      <c r="F22">
        <f t="shared" ref="F22:G22" si="1">F21*44/12</f>
        <v>623.33333333333337</v>
      </c>
      <c r="G22">
        <f t="shared" si="1"/>
        <v>311.66666666666669</v>
      </c>
      <c r="H22">
        <f>H21*44/12</f>
        <v>0</v>
      </c>
    </row>
    <row r="23" spans="1:8" x14ac:dyDescent="0.2">
      <c r="F23">
        <f>F17-F22</f>
        <v>2476.6669532000001</v>
      </c>
      <c r="G23">
        <f t="shared" ref="G23:H23" si="2">G17-G22</f>
        <v>1838.3346182666667</v>
      </c>
      <c r="H23">
        <f t="shared" si="2"/>
        <v>1200.0008682315977</v>
      </c>
    </row>
    <row r="26" spans="1:8" x14ac:dyDescent="0.2">
      <c r="A26" t="s">
        <v>9</v>
      </c>
      <c r="F26">
        <v>3114</v>
      </c>
      <c r="G26">
        <v>2128</v>
      </c>
      <c r="H26">
        <v>1141</v>
      </c>
    </row>
    <row r="27" spans="1:8" x14ac:dyDescent="0.2">
      <c r="F27">
        <f>F26-F22</f>
        <v>2490.6666666666665</v>
      </c>
      <c r="G27">
        <f t="shared" ref="G27:H27" si="3">G26-G22</f>
        <v>1816.3333333333333</v>
      </c>
      <c r="H27">
        <f t="shared" si="3"/>
        <v>1141</v>
      </c>
    </row>
    <row r="30" spans="1:8" x14ac:dyDescent="0.2">
      <c r="A30" t="s">
        <v>10</v>
      </c>
      <c r="B30">
        <f>5991*0.83</f>
        <v>4972.53</v>
      </c>
      <c r="C30">
        <f>5991*0.72</f>
        <v>4313.5199999999995</v>
      </c>
      <c r="D30">
        <f>5991*0.48</f>
        <v>2875.68</v>
      </c>
      <c r="E30">
        <f>0.34*5991</f>
        <v>2036.94</v>
      </c>
      <c r="F30">
        <f>E30-H32</f>
        <v>1641.2933333333333</v>
      </c>
      <c r="G30">
        <f>E30-H32*2</f>
        <v>1245.6466666666665</v>
      </c>
      <c r="H30">
        <v>850</v>
      </c>
    </row>
    <row r="32" spans="1:8" x14ac:dyDescent="0.2">
      <c r="A32" t="s">
        <v>11</v>
      </c>
      <c r="B32" t="s">
        <v>12</v>
      </c>
      <c r="H32">
        <f>(E30-H30)/3</f>
        <v>395.6466666666667</v>
      </c>
    </row>
    <row r="33" spans="2:2" x14ac:dyDescent="0.2">
      <c r="B3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 Yang</dc:creator>
  <cp:lastModifiedBy>Haozhe Yang</cp:lastModifiedBy>
  <dcterms:created xsi:type="dcterms:W3CDTF">2024-12-20T18:48:37Z</dcterms:created>
  <dcterms:modified xsi:type="dcterms:W3CDTF">2025-02-03T19:58:39Z</dcterms:modified>
</cp:coreProperties>
</file>