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4174/Documents/GitHub/GCAM_USA/"/>
    </mc:Choice>
  </mc:AlternateContent>
  <xr:revisionPtr revIDLastSave="0" documentId="13_ncr:1_{8AF38F4E-D2BB-A94F-A965-5CCCE51EA7F6}" xr6:coauthVersionLast="47" xr6:coauthVersionMax="47" xr10:uidLastSave="{00000000-0000-0000-0000-000000000000}"/>
  <bookViews>
    <workbookView xWindow="0" yWindow="1340" windowWidth="34560" windowHeight="19940" activeTab="1" xr2:uid="{4937CC61-AA50-1D4B-AB79-7D9A1AF24443}"/>
  </bookViews>
  <sheets>
    <sheet name="Sheet1" sheetId="1" r:id="rId1"/>
    <sheet name="Sheet2" sheetId="2" r:id="rId2"/>
    <sheet name="technology_co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5" i="2"/>
  <c r="M4" i="2"/>
  <c r="B51" i="1"/>
  <c r="B52" i="1"/>
  <c r="B53" i="1"/>
  <c r="B54" i="1"/>
  <c r="B55" i="1"/>
  <c r="B50" i="1"/>
  <c r="M2" i="2"/>
  <c r="D148" i="1"/>
  <c r="D149" i="1"/>
  <c r="D150" i="1"/>
  <c r="D151" i="1"/>
  <c r="D152" i="1"/>
  <c r="D153" i="1"/>
  <c r="D147" i="1"/>
  <c r="D140" i="1"/>
  <c r="D141" i="1"/>
  <c r="D142" i="1"/>
  <c r="D143" i="1"/>
  <c r="D144" i="1"/>
  <c r="D145" i="1"/>
  <c r="D139" i="1"/>
  <c r="D136" i="1" l="1"/>
  <c r="D135" i="1"/>
  <c r="D134" i="1"/>
  <c r="D133" i="1"/>
  <c r="D132" i="1"/>
  <c r="D131" i="1"/>
  <c r="D130" i="1"/>
  <c r="D122" i="1"/>
  <c r="D123" i="1"/>
  <c r="D124" i="1"/>
  <c r="D125" i="1"/>
  <c r="D126" i="1"/>
  <c r="D127" i="1"/>
  <c r="D121" i="1"/>
  <c r="AR19" i="1" l="1"/>
  <c r="B8" i="2"/>
  <c r="C2" i="3" l="1"/>
  <c r="D2" i="3"/>
  <c r="E2" i="3"/>
  <c r="F2" i="3"/>
  <c r="G2" i="3"/>
  <c r="H2" i="3"/>
  <c r="C3" i="3"/>
  <c r="D3" i="3"/>
  <c r="E3" i="3"/>
  <c r="F3" i="3"/>
  <c r="G3" i="3"/>
  <c r="H3" i="3"/>
  <c r="C4" i="3"/>
  <c r="D4" i="3"/>
  <c r="E4" i="3"/>
  <c r="F4" i="3"/>
  <c r="G4" i="3"/>
  <c r="H4" i="3"/>
  <c r="C5" i="3"/>
  <c r="D5" i="3"/>
  <c r="E5" i="3"/>
  <c r="F5" i="3"/>
  <c r="G5" i="3"/>
  <c r="H5" i="3"/>
  <c r="C6" i="3"/>
  <c r="D6" i="3"/>
  <c r="E6" i="3"/>
  <c r="F6" i="3"/>
  <c r="G6" i="3"/>
  <c r="H6" i="3"/>
  <c r="C7" i="3"/>
  <c r="D7" i="3"/>
  <c r="E7" i="3"/>
  <c r="F7" i="3"/>
  <c r="G7" i="3"/>
  <c r="H7" i="3"/>
  <c r="C8" i="3"/>
  <c r="D8" i="3"/>
  <c r="E8" i="3"/>
  <c r="F8" i="3"/>
  <c r="G8" i="3"/>
  <c r="H8" i="3"/>
  <c r="C9" i="3"/>
  <c r="D9" i="3"/>
  <c r="E9" i="3"/>
  <c r="F9" i="3"/>
  <c r="G9" i="3"/>
  <c r="H9" i="3"/>
  <c r="C10" i="3"/>
  <c r="D10" i="3"/>
  <c r="E10" i="3"/>
  <c r="F10" i="3"/>
  <c r="G10" i="3"/>
  <c r="H10" i="3"/>
  <c r="C11" i="3"/>
  <c r="D11" i="3"/>
  <c r="E11" i="3"/>
  <c r="F11" i="3"/>
  <c r="G11" i="3"/>
  <c r="H11" i="3"/>
  <c r="C12" i="3"/>
  <c r="D12" i="3"/>
  <c r="E12" i="3"/>
  <c r="F12" i="3"/>
  <c r="G12" i="3"/>
  <c r="H12" i="3"/>
  <c r="C13" i="3"/>
  <c r="D13" i="3"/>
  <c r="E13" i="3"/>
  <c r="F13" i="3"/>
  <c r="G13" i="3"/>
  <c r="H13" i="3"/>
  <c r="C14" i="3"/>
  <c r="D14" i="3"/>
  <c r="E14" i="3"/>
  <c r="F14" i="3"/>
  <c r="G14" i="3"/>
  <c r="H14" i="3"/>
  <c r="C15" i="3"/>
  <c r="D15" i="3"/>
  <c r="E15" i="3"/>
  <c r="F15" i="3"/>
  <c r="G15" i="3"/>
  <c r="H15" i="3"/>
  <c r="C16" i="3"/>
  <c r="D16" i="3"/>
  <c r="E16" i="3"/>
  <c r="F16" i="3"/>
  <c r="G16" i="3"/>
  <c r="H16" i="3"/>
  <c r="C17" i="3"/>
  <c r="D17" i="3"/>
  <c r="E17" i="3"/>
  <c r="F17" i="3"/>
  <c r="G17" i="3"/>
  <c r="H17" i="3"/>
  <c r="C18" i="3"/>
  <c r="D18" i="3"/>
  <c r="E18" i="3"/>
  <c r="F18" i="3"/>
  <c r="G18" i="3"/>
  <c r="H18" i="3"/>
  <c r="C19" i="3"/>
  <c r="D19" i="3"/>
  <c r="E19" i="3"/>
  <c r="F19" i="3"/>
  <c r="G19" i="3"/>
  <c r="H19" i="3"/>
  <c r="C20" i="3"/>
  <c r="D20" i="3"/>
  <c r="E20" i="3"/>
  <c r="F20" i="3"/>
  <c r="G20" i="3"/>
  <c r="H20" i="3"/>
  <c r="C21" i="3"/>
  <c r="D21" i="3"/>
  <c r="E21" i="3"/>
  <c r="F21" i="3"/>
  <c r="G21" i="3"/>
  <c r="H21" i="3"/>
  <c r="C22" i="3"/>
  <c r="D22" i="3"/>
  <c r="E22" i="3"/>
  <c r="F22" i="3"/>
  <c r="G22" i="3"/>
  <c r="H22" i="3"/>
  <c r="C23" i="3"/>
  <c r="D23" i="3"/>
  <c r="E23" i="3"/>
  <c r="F23" i="3"/>
  <c r="G23" i="3"/>
  <c r="H23" i="3"/>
  <c r="C24" i="3"/>
  <c r="D24" i="3"/>
  <c r="E24" i="3"/>
  <c r="F24" i="3"/>
  <c r="G24" i="3"/>
  <c r="H24" i="3"/>
  <c r="C25" i="3"/>
  <c r="D25" i="3"/>
  <c r="E25" i="3"/>
  <c r="F25" i="3"/>
  <c r="G25" i="3"/>
  <c r="H25" i="3"/>
  <c r="C26" i="3"/>
  <c r="D26" i="3"/>
  <c r="E26" i="3"/>
  <c r="F26" i="3"/>
  <c r="G26" i="3"/>
  <c r="H26" i="3"/>
  <c r="C27" i="3"/>
  <c r="D27" i="3"/>
  <c r="E27" i="3"/>
  <c r="F27" i="3"/>
  <c r="G27" i="3"/>
  <c r="H27" i="3"/>
  <c r="C28" i="3"/>
  <c r="D28" i="3"/>
  <c r="E28" i="3"/>
  <c r="F28" i="3"/>
  <c r="G28" i="3"/>
  <c r="H28" i="3"/>
  <c r="C29" i="3"/>
  <c r="D29" i="3"/>
  <c r="E29" i="3"/>
  <c r="F29" i="3"/>
  <c r="G29" i="3"/>
  <c r="H29" i="3"/>
  <c r="C30" i="3"/>
  <c r="D30" i="3"/>
  <c r="E30" i="3"/>
  <c r="F30" i="3"/>
  <c r="G30" i="3"/>
  <c r="H30" i="3"/>
  <c r="C31" i="3"/>
  <c r="D31" i="3"/>
  <c r="E31" i="3"/>
  <c r="F31" i="3"/>
  <c r="G31" i="3"/>
  <c r="H31" i="3"/>
  <c r="C32" i="3"/>
  <c r="D32" i="3"/>
  <c r="E32" i="3"/>
  <c r="F32" i="3"/>
  <c r="G32" i="3"/>
  <c r="H32" i="3"/>
  <c r="C33" i="3"/>
  <c r="D33" i="3"/>
  <c r="E33" i="3"/>
  <c r="F33" i="3"/>
  <c r="G33" i="3"/>
  <c r="H33" i="3"/>
  <c r="C34" i="3"/>
  <c r="D34" i="3"/>
  <c r="E34" i="3"/>
  <c r="F34" i="3"/>
  <c r="G34" i="3"/>
  <c r="H34" i="3"/>
  <c r="C35" i="3"/>
  <c r="D35" i="3"/>
  <c r="E35" i="3"/>
  <c r="F35" i="3"/>
  <c r="G35" i="3"/>
  <c r="H35" i="3"/>
  <c r="C36" i="3"/>
  <c r="D36" i="3"/>
  <c r="E36" i="3"/>
  <c r="F36" i="3"/>
  <c r="G36" i="3"/>
  <c r="H36" i="3"/>
  <c r="B33" i="3"/>
  <c r="B32" i="3"/>
  <c r="B35" i="3"/>
  <c r="B36" i="3"/>
  <c r="B34" i="3"/>
  <c r="B31" i="3"/>
  <c r="B30" i="3"/>
  <c r="B28" i="3"/>
  <c r="B29" i="3"/>
  <c r="B27" i="3"/>
  <c r="B26" i="3"/>
  <c r="B25" i="3"/>
  <c r="B24" i="3"/>
  <c r="B23" i="3"/>
  <c r="B22" i="3"/>
  <c r="B21" i="3"/>
  <c r="B20" i="3"/>
  <c r="B18" i="3"/>
  <c r="B17" i="3"/>
  <c r="B15" i="3"/>
  <c r="B14" i="3"/>
  <c r="B13" i="3"/>
  <c r="B12" i="3"/>
  <c r="B11" i="3"/>
  <c r="B10" i="3"/>
  <c r="B8" i="3"/>
  <c r="B7" i="3"/>
  <c r="B6" i="3"/>
  <c r="B5" i="3"/>
  <c r="B4" i="3"/>
  <c r="B3" i="3"/>
  <c r="B2" i="3"/>
  <c r="M3" i="2"/>
  <c r="N3" i="2"/>
  <c r="O3" i="2"/>
  <c r="P3" i="2"/>
  <c r="Q3" i="2"/>
  <c r="R3" i="2"/>
  <c r="S3" i="2"/>
  <c r="N4" i="2"/>
  <c r="O4" i="2"/>
  <c r="P4" i="2"/>
  <c r="Q4" i="2"/>
  <c r="R4" i="2"/>
  <c r="S4" i="2"/>
  <c r="M5" i="2"/>
  <c r="N5" i="2"/>
  <c r="O5" i="2"/>
  <c r="P5" i="2"/>
  <c r="Q5" i="2"/>
  <c r="R5" i="2"/>
  <c r="S5" i="2"/>
  <c r="M6" i="2"/>
  <c r="N6" i="2"/>
  <c r="O6" i="2"/>
  <c r="P6" i="2"/>
  <c r="Q6" i="2"/>
  <c r="R6" i="2"/>
  <c r="S6" i="2"/>
  <c r="M7" i="2"/>
  <c r="N7" i="2"/>
  <c r="O7" i="2"/>
  <c r="P7" i="2"/>
  <c r="Q7" i="2"/>
  <c r="R7" i="2"/>
  <c r="S7" i="2"/>
  <c r="M8" i="2"/>
  <c r="B16" i="3" s="1"/>
  <c r="N8" i="2"/>
  <c r="O8" i="2"/>
  <c r="P8" i="2"/>
  <c r="Q8" i="2"/>
  <c r="R8" i="2"/>
  <c r="S8" i="2"/>
  <c r="M9" i="2"/>
  <c r="N9" i="2"/>
  <c r="O9" i="2"/>
  <c r="P9" i="2"/>
  <c r="Q9" i="2"/>
  <c r="R9" i="2"/>
  <c r="S9" i="2"/>
  <c r="N10" i="2"/>
  <c r="O10" i="2"/>
  <c r="P10" i="2"/>
  <c r="Q10" i="2"/>
  <c r="R10" i="2"/>
  <c r="S10" i="2"/>
  <c r="M11" i="2"/>
  <c r="N11" i="2"/>
  <c r="O11" i="2"/>
  <c r="P11" i="2"/>
  <c r="Q11" i="2"/>
  <c r="R11" i="2"/>
  <c r="S11" i="2"/>
  <c r="M12" i="2"/>
  <c r="N12" i="2"/>
  <c r="O12" i="2"/>
  <c r="P12" i="2"/>
  <c r="Q12" i="2"/>
  <c r="R12" i="2"/>
  <c r="S12" i="2"/>
  <c r="M13" i="2"/>
  <c r="N13" i="2"/>
  <c r="O13" i="2"/>
  <c r="P13" i="2"/>
  <c r="Q13" i="2"/>
  <c r="R13" i="2"/>
  <c r="S13" i="2"/>
  <c r="M14" i="2"/>
  <c r="N14" i="2"/>
  <c r="O14" i="2"/>
  <c r="P14" i="2"/>
  <c r="Q14" i="2"/>
  <c r="R14" i="2"/>
  <c r="S14" i="2"/>
  <c r="M15" i="2"/>
  <c r="N15" i="2"/>
  <c r="O15" i="2"/>
  <c r="P15" i="2"/>
  <c r="Q15" i="2"/>
  <c r="R15" i="2"/>
  <c r="S15" i="2"/>
  <c r="M16" i="2"/>
  <c r="N16" i="2"/>
  <c r="O16" i="2"/>
  <c r="P16" i="2"/>
  <c r="Q16" i="2"/>
  <c r="R16" i="2"/>
  <c r="S16" i="2"/>
  <c r="M17" i="2"/>
  <c r="N17" i="2"/>
  <c r="O17" i="2"/>
  <c r="P17" i="2"/>
  <c r="Q17" i="2"/>
  <c r="R17" i="2"/>
  <c r="S17" i="2"/>
  <c r="M18" i="2"/>
  <c r="N18" i="2"/>
  <c r="O18" i="2"/>
  <c r="P18" i="2"/>
  <c r="Q18" i="2"/>
  <c r="R18" i="2"/>
  <c r="S18" i="2"/>
  <c r="M19" i="2"/>
  <c r="N19" i="2"/>
  <c r="O19" i="2"/>
  <c r="P19" i="2"/>
  <c r="Q19" i="2"/>
  <c r="R19" i="2"/>
  <c r="S19" i="2"/>
  <c r="M20" i="2"/>
  <c r="N20" i="2"/>
  <c r="O20" i="2"/>
  <c r="P20" i="2"/>
  <c r="Q20" i="2"/>
  <c r="R20" i="2"/>
  <c r="S20" i="2"/>
  <c r="M21" i="2"/>
  <c r="N21" i="2"/>
  <c r="O21" i="2"/>
  <c r="P21" i="2"/>
  <c r="Q21" i="2"/>
  <c r="R21" i="2"/>
  <c r="S21" i="2"/>
  <c r="M22" i="2"/>
  <c r="N22" i="2"/>
  <c r="O22" i="2"/>
  <c r="P22" i="2"/>
  <c r="Q22" i="2"/>
  <c r="R22" i="2"/>
  <c r="S22" i="2"/>
  <c r="M23" i="2"/>
  <c r="N23" i="2"/>
  <c r="O23" i="2"/>
  <c r="P23" i="2"/>
  <c r="Q23" i="2"/>
  <c r="R23" i="2"/>
  <c r="S23" i="2"/>
  <c r="N2" i="2"/>
  <c r="O2" i="2"/>
  <c r="P2" i="2"/>
  <c r="Q2" i="2"/>
  <c r="R2" i="2"/>
  <c r="S2" i="2"/>
  <c r="C16" i="2"/>
  <c r="D16" i="2"/>
  <c r="E16" i="2"/>
  <c r="F16" i="2"/>
  <c r="G16" i="2"/>
  <c r="H16" i="2"/>
  <c r="B16" i="2"/>
  <c r="C15" i="2"/>
  <c r="D15" i="2"/>
  <c r="E15" i="2"/>
  <c r="F15" i="2"/>
  <c r="G15" i="2"/>
  <c r="H15" i="2"/>
  <c r="B15" i="2"/>
  <c r="C14" i="2"/>
  <c r="D14" i="2"/>
  <c r="E14" i="2"/>
  <c r="F14" i="2"/>
  <c r="G14" i="2"/>
  <c r="H14" i="2"/>
  <c r="B14" i="2"/>
  <c r="B20" i="2"/>
  <c r="C19" i="2" l="1"/>
  <c r="D19" i="2"/>
  <c r="E19" i="2"/>
  <c r="F19" i="2"/>
  <c r="G19" i="2"/>
  <c r="H19" i="2"/>
  <c r="C6" i="2" l="1"/>
  <c r="D6" i="2" s="1"/>
  <c r="E6" i="2" s="1"/>
  <c r="F6" i="2" s="1"/>
  <c r="G6" i="2" s="1"/>
  <c r="H6" i="2" s="1"/>
  <c r="B18" i="2"/>
  <c r="B49" i="2" l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B44" i="2"/>
  <c r="B45" i="2"/>
  <c r="B46" i="2"/>
  <c r="B47" i="2"/>
  <c r="B48" i="2"/>
  <c r="B17" i="2"/>
  <c r="B9" i="2"/>
  <c r="B13" i="2"/>
  <c r="B12" i="2"/>
  <c r="B11" i="2"/>
  <c r="B6" i="2"/>
  <c r="B4" i="2"/>
  <c r="B3" i="2"/>
  <c r="B2" i="2"/>
  <c r="B19" i="2" s="1"/>
  <c r="B15" i="1"/>
  <c r="B10" i="2" l="1"/>
  <c r="M10" i="2" s="1"/>
  <c r="B8" i="1"/>
  <c r="B13" i="1"/>
  <c r="B9" i="3" l="1"/>
  <c r="B19" i="3"/>
  <c r="B12" i="1"/>
  <c r="B14" i="1"/>
  <c r="B6" i="1"/>
  <c r="E6" i="1"/>
  <c r="F6" i="1"/>
  <c r="G6" i="1"/>
  <c r="H6" i="1"/>
  <c r="D6" i="1"/>
  <c r="C6" i="1"/>
  <c r="B9" i="1"/>
  <c r="B10" i="1"/>
  <c r="B11" i="1"/>
  <c r="B7" i="1" l="1"/>
  <c r="B3" i="1"/>
  <c r="B2" i="1" l="1"/>
  <c r="B5" i="1"/>
  <c r="B4" i="1"/>
  <c r="B113" i="1" l="1"/>
  <c r="B117" i="1"/>
  <c r="B118" i="1"/>
  <c r="B114" i="1"/>
  <c r="B88" i="1" l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D87" i="1"/>
  <c r="C87" i="1"/>
  <c r="B87" i="1"/>
  <c r="E87" i="1" s="1"/>
  <c r="AN9" i="1"/>
  <c r="AO9" i="1"/>
  <c r="AP9" i="1"/>
  <c r="AQ9" i="1"/>
  <c r="AR9" i="1"/>
  <c r="AS9" i="1"/>
  <c r="AT9" i="1"/>
  <c r="AU9" i="1"/>
  <c r="AN10" i="1"/>
  <c r="AO10" i="1"/>
  <c r="AP10" i="1"/>
  <c r="AQ10" i="1"/>
  <c r="AR10" i="1"/>
  <c r="AS10" i="1"/>
  <c r="AT10" i="1"/>
  <c r="AU10" i="1"/>
  <c r="AN11" i="1"/>
  <c r="AO11" i="1"/>
  <c r="AP11" i="1"/>
  <c r="AQ11" i="1"/>
  <c r="AR11" i="1"/>
  <c r="AS11" i="1"/>
  <c r="AT11" i="1"/>
  <c r="AU11" i="1"/>
  <c r="AN12" i="1"/>
  <c r="AO12" i="1"/>
  <c r="AP12" i="1"/>
  <c r="AQ12" i="1"/>
  <c r="AR12" i="1"/>
  <c r="AS12" i="1"/>
  <c r="AT12" i="1"/>
  <c r="AU12" i="1"/>
  <c r="AN13" i="1"/>
  <c r="AO13" i="1"/>
  <c r="AP13" i="1"/>
  <c r="AQ13" i="1"/>
  <c r="AR13" i="1"/>
  <c r="AS13" i="1"/>
  <c r="AT13" i="1"/>
  <c r="AU13" i="1"/>
  <c r="AN14" i="1"/>
  <c r="AO14" i="1"/>
  <c r="AP14" i="1"/>
  <c r="AQ14" i="1"/>
  <c r="AR14" i="1"/>
  <c r="AS14" i="1"/>
  <c r="AT14" i="1"/>
  <c r="AU14" i="1"/>
  <c r="AN19" i="1"/>
  <c r="AO19" i="1"/>
  <c r="AP19" i="1"/>
  <c r="AQ19" i="1"/>
  <c r="AS19" i="1"/>
  <c r="AT19" i="1"/>
  <c r="AU19" i="1"/>
  <c r="AN20" i="1"/>
  <c r="AO20" i="1"/>
  <c r="AP20" i="1"/>
  <c r="AQ20" i="1"/>
  <c r="AR20" i="1"/>
  <c r="AS20" i="1"/>
  <c r="AT20" i="1"/>
  <c r="AU20" i="1"/>
  <c r="AN21" i="1"/>
  <c r="AO21" i="1"/>
  <c r="AP21" i="1"/>
  <c r="AQ21" i="1"/>
  <c r="AR21" i="1"/>
  <c r="AS21" i="1"/>
  <c r="AT21" i="1"/>
  <c r="AU21" i="1"/>
  <c r="AN22" i="1"/>
  <c r="AO22" i="1"/>
  <c r="AP22" i="1"/>
  <c r="AQ22" i="1"/>
  <c r="AR22" i="1"/>
  <c r="AS22" i="1"/>
  <c r="AT22" i="1"/>
  <c r="AU22" i="1"/>
  <c r="AN23" i="1"/>
  <c r="AO23" i="1"/>
  <c r="AP23" i="1"/>
  <c r="AQ23" i="1"/>
  <c r="AR23" i="1"/>
  <c r="AS23" i="1"/>
  <c r="AT23" i="1"/>
  <c r="AU23" i="1"/>
  <c r="AN24" i="1"/>
  <c r="AO24" i="1"/>
  <c r="AP24" i="1"/>
  <c r="AQ24" i="1"/>
  <c r="AR24" i="1"/>
  <c r="AS24" i="1"/>
  <c r="AT24" i="1"/>
  <c r="AU24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I78" i="1"/>
  <c r="H78" i="1"/>
  <c r="G78" i="1"/>
  <c r="J78" i="1" s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D78" i="1"/>
  <c r="C78" i="1"/>
  <c r="B78" i="1"/>
  <c r="E78" i="1" s="1"/>
  <c r="G69" i="1"/>
  <c r="H69" i="1"/>
  <c r="I69" i="1"/>
  <c r="G70" i="1"/>
  <c r="H70" i="1"/>
  <c r="I70" i="1"/>
  <c r="G71" i="1"/>
  <c r="H71" i="1"/>
  <c r="I71" i="1"/>
  <c r="G72" i="1"/>
  <c r="J72" i="1" s="1"/>
  <c r="H72" i="1"/>
  <c r="I72" i="1"/>
  <c r="G73" i="1"/>
  <c r="H73" i="1"/>
  <c r="I73" i="1"/>
  <c r="I68" i="1"/>
  <c r="H68" i="1"/>
  <c r="G68" i="1"/>
  <c r="J68" i="1" s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D68" i="1"/>
  <c r="C68" i="1"/>
  <c r="B68" i="1"/>
  <c r="E68" i="1" s="1"/>
  <c r="E82" i="1" l="1"/>
  <c r="J71" i="1"/>
  <c r="E71" i="1"/>
  <c r="E81" i="1"/>
  <c r="J83" i="1"/>
  <c r="E70" i="1"/>
  <c r="E91" i="1"/>
  <c r="J81" i="1"/>
  <c r="J80" i="1"/>
  <c r="J82" i="1"/>
  <c r="J70" i="1"/>
  <c r="J69" i="1"/>
  <c r="E89" i="1"/>
  <c r="E90" i="1"/>
  <c r="E73" i="1"/>
  <c r="J79" i="1"/>
  <c r="E69" i="1"/>
  <c r="E79" i="1"/>
  <c r="E92" i="1"/>
  <c r="E80" i="1"/>
  <c r="J73" i="1"/>
  <c r="E72" i="1"/>
  <c r="E83" i="1"/>
  <c r="E88" i="1"/>
  <c r="G64" i="1"/>
  <c r="H64" i="1"/>
  <c r="I64" i="1"/>
  <c r="G60" i="1"/>
  <c r="H60" i="1"/>
  <c r="I60" i="1"/>
  <c r="G61" i="1"/>
  <c r="H61" i="1"/>
  <c r="I61" i="1"/>
  <c r="G62" i="1"/>
  <c r="H62" i="1"/>
  <c r="I62" i="1"/>
  <c r="G63" i="1"/>
  <c r="H63" i="1"/>
  <c r="I63" i="1"/>
  <c r="I59" i="1"/>
  <c r="H59" i="1"/>
  <c r="G59" i="1"/>
  <c r="J59" i="1" s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I50" i="1"/>
  <c r="H50" i="1"/>
  <c r="G50" i="1"/>
  <c r="J50" i="1" s="1"/>
  <c r="B60" i="1"/>
  <c r="C60" i="1"/>
  <c r="D60" i="1"/>
  <c r="B61" i="1"/>
  <c r="E61" i="1" s="1"/>
  <c r="C61" i="1"/>
  <c r="D61" i="1"/>
  <c r="B62" i="1"/>
  <c r="C62" i="1"/>
  <c r="D62" i="1"/>
  <c r="B63" i="1"/>
  <c r="C63" i="1"/>
  <c r="D63" i="1"/>
  <c r="B64" i="1"/>
  <c r="C64" i="1"/>
  <c r="D64" i="1"/>
  <c r="D59" i="1"/>
  <c r="C59" i="1"/>
  <c r="B59" i="1"/>
  <c r="E59" i="1" s="1"/>
  <c r="C51" i="1"/>
  <c r="D51" i="1"/>
  <c r="C52" i="1"/>
  <c r="D52" i="1"/>
  <c r="C53" i="1"/>
  <c r="D53" i="1"/>
  <c r="C54" i="1"/>
  <c r="D54" i="1"/>
  <c r="C55" i="1"/>
  <c r="D55" i="1"/>
  <c r="E52" i="1"/>
  <c r="E53" i="1"/>
  <c r="E54" i="1"/>
  <c r="E55" i="1"/>
  <c r="D50" i="1"/>
  <c r="C50" i="1"/>
  <c r="E50" i="1"/>
  <c r="J61" i="1" l="1"/>
  <c r="E60" i="1"/>
  <c r="J51" i="1"/>
  <c r="J60" i="1"/>
  <c r="E64" i="1"/>
  <c r="E63" i="1"/>
  <c r="J52" i="1"/>
  <c r="J64" i="1"/>
  <c r="J62" i="1"/>
  <c r="E51" i="1"/>
  <c r="J55" i="1"/>
  <c r="J63" i="1"/>
  <c r="J54" i="1"/>
  <c r="E62" i="1"/>
  <c r="J53" i="1"/>
  <c r="AM24" i="1"/>
  <c r="AM23" i="1"/>
  <c r="AM22" i="1"/>
  <c r="AM21" i="1"/>
  <c r="AM20" i="1"/>
  <c r="AM19" i="1"/>
  <c r="AM10" i="1"/>
  <c r="AM11" i="1"/>
  <c r="AM12" i="1"/>
  <c r="AM13" i="1"/>
  <c r="AM14" i="1"/>
  <c r="AM9" i="1"/>
</calcChain>
</file>

<file path=xl/sharedStrings.xml><?xml version="1.0" encoding="utf-8"?>
<sst xmlns="http://schemas.openxmlformats.org/spreadsheetml/2006/main" count="284" uniqueCount="77">
  <si>
    <t>wind</t>
  </si>
  <si>
    <t>offshore wind</t>
  </si>
  <si>
    <t>PV</t>
  </si>
  <si>
    <t>rooftop</t>
  </si>
  <si>
    <t>2024 NREL data</t>
  </si>
  <si>
    <t>Yang's data (2019 ATB)</t>
  </si>
  <si>
    <t>GCAM default</t>
  </si>
  <si>
    <t>Offshore</t>
  </si>
  <si>
    <t>Yang</t>
  </si>
  <si>
    <t>GCAM</t>
  </si>
  <si>
    <t>coal CCS</t>
  </si>
  <si>
    <t>Gas CCS</t>
  </si>
  <si>
    <t>Coal</t>
  </si>
  <si>
    <t>Gas</t>
  </si>
  <si>
    <t>Coal CCS</t>
  </si>
  <si>
    <t xml:space="preserve">Gas </t>
  </si>
  <si>
    <t>Biomass</t>
  </si>
  <si>
    <t>Coal + CCS</t>
  </si>
  <si>
    <t>Gas + CCS</t>
  </si>
  <si>
    <t>EV</t>
  </si>
  <si>
    <t>Model Y</t>
  </si>
  <si>
    <t>Model X</t>
  </si>
  <si>
    <t>2020 to 2022</t>
  </si>
  <si>
    <t>Coal IGCC</t>
  </si>
  <si>
    <t>CSP_base_storage</t>
  </si>
  <si>
    <t>PV_base_storage</t>
  </si>
  <si>
    <t>Coal IGCC CCS</t>
  </si>
  <si>
    <t>CSP</t>
  </si>
  <si>
    <t>PV storage</t>
  </si>
  <si>
    <t>CSP storage</t>
  </si>
  <si>
    <t xml:space="preserve">CSP </t>
  </si>
  <si>
    <t>wind storage</t>
  </si>
  <si>
    <t>Biomass CCS</t>
  </si>
  <si>
    <t>biomass_base_conv</t>
  </si>
  <si>
    <t>biomass_base_conv_CCS</t>
  </si>
  <si>
    <t>coal_base_conv_pul_CCS</t>
  </si>
  <si>
    <t>coal_base_conv_pul</t>
  </si>
  <si>
    <t>coal_base_IGCC</t>
  </si>
  <si>
    <t>coal_base_IGCC_CCS</t>
  </si>
  <si>
    <t>gas_base_CC</t>
  </si>
  <si>
    <t>gas_base_CC_CCS</t>
  </si>
  <si>
    <t>biomass_int_conv</t>
  </si>
  <si>
    <t>biomass_int_conv_CCS</t>
  </si>
  <si>
    <t>coal_int_conv_pul</t>
  </si>
  <si>
    <t>coal_int_conv_pul_CCS</t>
  </si>
  <si>
    <t>coal_int_IGCC</t>
  </si>
  <si>
    <t>coal_int_IGCC_CCS</t>
  </si>
  <si>
    <t>gas_int_CC</t>
  </si>
  <si>
    <t>gas_int_CC_CCS</t>
  </si>
  <si>
    <t>coal_peal_conv_pul</t>
  </si>
  <si>
    <t>gas_peak_CC</t>
  </si>
  <si>
    <t>gas_peak_CC_CCS</t>
  </si>
  <si>
    <t>gas_peak_steam/CT</t>
  </si>
  <si>
    <t>rooftop_pv</t>
  </si>
  <si>
    <t>PV_int</t>
  </si>
  <si>
    <t>PV_subpeak</t>
  </si>
  <si>
    <t>PV_peak</t>
  </si>
  <si>
    <t>wind_base</t>
  </si>
  <si>
    <t>wind_base_offshore</t>
  </si>
  <si>
    <t>wind_int</t>
  </si>
  <si>
    <t>wind_subpeak</t>
  </si>
  <si>
    <t>CSP_int</t>
  </si>
  <si>
    <t>CSP_peak</t>
  </si>
  <si>
    <t>CSP_subpeak</t>
  </si>
  <si>
    <t>biomass_base_IGCC</t>
  </si>
  <si>
    <t>biomass_base_IGCC_CCS</t>
  </si>
  <si>
    <t>Gas CT</t>
  </si>
  <si>
    <t>Biomas CCS</t>
  </si>
  <si>
    <t>Biomass IGCC</t>
  </si>
  <si>
    <t>Biomass IGCC CCS</t>
  </si>
  <si>
    <t>biomass_int_IGCC</t>
  </si>
  <si>
    <t>biomass_int_IGCC_CCS</t>
  </si>
  <si>
    <t>technology</t>
  </si>
  <si>
    <t>BEV</t>
  </si>
  <si>
    <t>Liquid Fuels</t>
  </si>
  <si>
    <t>FCEV</t>
  </si>
  <si>
    <t>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</si>
</sst>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164" formatCode="&quot;$&quot;#,##0"/>
  </numFmts>
  <fonts count="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Lucida Grande"/>
      <family val="2"/>
    </font>
    <font>
      <sz val="14"/>
      <color rgb="FF505050"/>
      <name val="Tahoma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ck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5" fontId="1" fillId="3" borderId="1" xfId="0" applyNumberFormat="1" applyFont="1" applyFill="1" applyBorder="1"/>
    <xf numFmtId="5" fontId="1" fillId="2" borderId="1" xfId="0" applyNumberFormat="1" applyFont="1" applyFill="1" applyBorder="1"/>
    <xf numFmtId="164" fontId="1" fillId="3" borderId="1" xfId="0" applyNumberFormat="1" applyFont="1" applyFill="1" applyBorder="1"/>
    <xf numFmtId="5" fontId="0" fillId="0" borderId="0" xfId="0" applyNumberFormat="1"/>
    <xf numFmtId="164" fontId="0" fillId="0" borderId="0" xfId="0" applyNumberFormat="1"/>
    <xf numFmtId="164" fontId="2" fillId="3" borderId="1" xfId="0" applyNumberFormat="1" applyFont="1" applyFill="1" applyBorder="1"/>
    <xf numFmtId="164" fontId="1" fillId="3" borderId="0" xfId="0" applyNumberFormat="1" applyFont="1" applyFill="1"/>
    <xf numFmtId="7" fontId="0" fillId="0" borderId="0" xfId="0" applyNumberFormat="1"/>
    <xf numFmtId="0" fontId="3" fillId="0" borderId="0" xfId="0" applyFont="1"/>
    <xf numFmtId="6" fontId="4" fillId="0" borderId="0" xfId="0" applyNumberFormat="1" applyFont="1"/>
    <xf numFmtId="164" fontId="1" fillId="2" borderId="1" xfId="0" applyNumberFormat="1" applyFont="1" applyFill="1" applyBorder="1"/>
    <xf numFmtId="164" fontId="1" fillId="2" borderId="2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Utility PV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Sheet1!$B$49</c:f>
              <c:strCache>
                <c:ptCount val="1"/>
                <c:pt idx="0">
                  <c:v>2024 NREL data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Sheet1!$A$50:$A$55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xVal>
          <c:yVal>
            <c:numRef>
              <c:f>Sheet1!$B$50:$B$55</c:f>
              <c:numCache>
                <c:formatCode>"$"#,##0_);\("$"#,##0\)</c:formatCode>
                <c:ptCount val="6"/>
                <c:pt idx="0">
                  <c:v>1323.0521518442406</c:v>
                </c:pt>
                <c:pt idx="1">
                  <c:v>1043.7023517333357</c:v>
                </c:pt>
                <c:pt idx="2">
                  <c:v>764.35255162243141</c:v>
                </c:pt>
                <c:pt idx="3">
                  <c:v>695.9935019929851</c:v>
                </c:pt>
                <c:pt idx="4">
                  <c:v>627.63445236353868</c:v>
                </c:pt>
                <c:pt idx="5">
                  <c:v>559.27540273409272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31-4B45-9AAA-1378F023B223}"/>
            </c:ext>
          </c:extLst>
        </c:ser>
        <c:ser>
          <c:idx val="1"/>
          <c:order val="1"/>
          <c:tx>
            <c:strRef>
              <c:f>Sheet1!$C$49</c:f>
              <c:strCache>
                <c:ptCount val="1"/>
                <c:pt idx="0">
                  <c:v>Yang's data (2019 ATB)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Sheet1!$A$50:$A$55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xVal>
          <c:yVal>
            <c:numRef>
              <c:f>Sheet1!$C$50:$C$55</c:f>
              <c:numCache>
                <c:formatCode>General</c:formatCode>
                <c:ptCount val="6"/>
                <c:pt idx="0">
                  <c:v>1508.59</c:v>
                </c:pt>
                <c:pt idx="1">
                  <c:v>1232.7</c:v>
                </c:pt>
                <c:pt idx="2">
                  <c:v>1074.21</c:v>
                </c:pt>
                <c:pt idx="3">
                  <c:v>992.03</c:v>
                </c:pt>
                <c:pt idx="4">
                  <c:v>939.2</c:v>
                </c:pt>
                <c:pt idx="5">
                  <c:v>915.72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31-4B45-9AAA-1378F023B223}"/>
            </c:ext>
          </c:extLst>
        </c:ser>
        <c:ser>
          <c:idx val="2"/>
          <c:order val="2"/>
          <c:tx>
            <c:strRef>
              <c:f>Sheet1!$D$49</c:f>
              <c:strCache>
                <c:ptCount val="1"/>
                <c:pt idx="0">
                  <c:v>GCAM default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Sheet1!$A$50:$A$55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xVal>
          <c:yVal>
            <c:numRef>
              <c:f>Sheet1!$D$50:$D$55</c:f>
              <c:numCache>
                <c:formatCode>General</c:formatCode>
                <c:ptCount val="6"/>
                <c:pt idx="0">
                  <c:v>2154.29</c:v>
                </c:pt>
                <c:pt idx="1">
                  <c:v>1766.8700000000001</c:v>
                </c:pt>
                <c:pt idx="2">
                  <c:v>1543.81</c:v>
                </c:pt>
                <c:pt idx="3">
                  <c:v>1408.8</c:v>
                </c:pt>
                <c:pt idx="4">
                  <c:v>1326.6200000000001</c:v>
                </c:pt>
                <c:pt idx="5">
                  <c:v>1279.6600000000001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31-4B45-9AAA-1378F023B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428367"/>
        <c:axId val="1850964383"/>
      </c:scatterChart>
      <c:valAx>
        <c:axId val="185142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964383"/>
        <c:crosses val="autoZero"/>
        <c:crossBetween val="midCat"/>
      </c:valAx>
      <c:valAx>
        <c:axId val="185096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428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Onshore wind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Sheet1!$G$49</c:f>
              <c:strCache>
                <c:ptCount val="1"/>
                <c:pt idx="0">
                  <c:v>2024 NREL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Sheet1!$F$50:$F$55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Sheet1!$G$50:$G$55</c:f>
              <c:numCache>
                <c:formatCode>"$"#,##0_);\("$"#,##0\)</c:formatCode>
                <c:ptCount val="6"/>
                <c:pt idx="0">
                  <c:v>1380.33787020615</c:v>
                </c:pt>
                <c:pt idx="1">
                  <c:v>1228.30776055449</c:v>
                </c:pt>
                <c:pt idx="2">
                  <c:v>1159.19076643723</c:v>
                </c:pt>
                <c:pt idx="3">
                  <c:v>1090.07377231997</c:v>
                </c:pt>
                <c:pt idx="4">
                  <c:v>1020.95677820272</c:v>
                </c:pt>
                <c:pt idx="5">
                  <c:v>951.83978408546204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EA-4B49-BA7E-57A1D74E1653}"/>
            </c:ext>
          </c:extLst>
        </c:ser>
        <c:ser>
          <c:idx val="1"/>
          <c:order val="1"/>
          <c:tx>
            <c:strRef>
              <c:f>Sheet1!$H$49</c:f>
              <c:strCache>
                <c:ptCount val="1"/>
                <c:pt idx="0">
                  <c:v>Yang's data (2019 ATB)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Sheet1!$F$50:$F$55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Sheet1!$H$50:$H$55</c:f>
              <c:numCache>
                <c:formatCode>General</c:formatCode>
                <c:ptCount val="6"/>
                <c:pt idx="0">
                  <c:v>1743.39</c:v>
                </c:pt>
                <c:pt idx="1">
                  <c:v>1485.1100000000001</c:v>
                </c:pt>
                <c:pt idx="2">
                  <c:v>1326.6200000000001</c:v>
                </c:pt>
                <c:pt idx="3">
                  <c:v>1226.83</c:v>
                </c:pt>
                <c:pt idx="4">
                  <c:v>1162.26</c:v>
                </c:pt>
                <c:pt idx="5">
                  <c:v>1121.17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EA-4B49-BA7E-57A1D74E1653}"/>
            </c:ext>
          </c:extLst>
        </c:ser>
        <c:ser>
          <c:idx val="2"/>
          <c:order val="2"/>
          <c:tx>
            <c:strRef>
              <c:f>Sheet1!$I$49</c:f>
              <c:strCache>
                <c:ptCount val="1"/>
                <c:pt idx="0">
                  <c:v>GCAM default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Sheet1!$F$50:$F$55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Sheet1!$I$50:$I$55</c:f>
              <c:numCache>
                <c:formatCode>General</c:formatCode>
                <c:ptCount val="6"/>
                <c:pt idx="0">
                  <c:v>2177.77</c:v>
                </c:pt>
                <c:pt idx="1">
                  <c:v>2025.15</c:v>
                </c:pt>
                <c:pt idx="2">
                  <c:v>1901.88</c:v>
                </c:pt>
                <c:pt idx="3">
                  <c:v>1807.96</c:v>
                </c:pt>
                <c:pt idx="4">
                  <c:v>1731.65</c:v>
                </c:pt>
                <c:pt idx="5">
                  <c:v>1678.82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EA-4B49-BA7E-57A1D74E1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669712"/>
        <c:axId val="749908192"/>
      </c:lineChart>
      <c:catAx>
        <c:axId val="70666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908192"/>
        <c:crosses val="autoZero"/>
        <c:auto val="1"/>
        <c:lblAlgn val="ctr"/>
        <c:lblOffset val="100"/>
        <c:noMultiLvlLbl val="0"/>
      </c:catAx>
      <c:valAx>
        <c:axId val="74990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6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Rooftop</a:t>
            </a:r>
            <a:r>
              <a:rPr lang="en-US" baseline="0"/>
              <a:t>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Sheet1!$B$58</c:f>
              <c:strCache>
                <c:ptCount val="1"/>
                <c:pt idx="0">
                  <c:v>2024 NREL data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Sheet1!$A$59:$A$64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xVal>
          <c:yVal>
            <c:numRef>
              <c:f>Sheet1!$B$59:$B$64</c:f>
              <c:numCache>
                <c:formatCode>"$"#,##0_);\("$"#,##0\)</c:formatCode>
                <c:ptCount val="6"/>
                <c:pt idx="0">
                  <c:v>2518.9680519015233</c:v>
                </c:pt>
                <c:pt idx="1">
                  <c:v>2110.9266135087</c:v>
                </c:pt>
                <c:pt idx="2">
                  <c:v>1702.8851751158791</c:v>
                </c:pt>
                <c:pt idx="3">
                  <c:v>1537.9479247046979</c:v>
                </c:pt>
                <c:pt idx="4">
                  <c:v>1373.0106742935166</c:v>
                </c:pt>
                <c:pt idx="5">
                  <c:v>1208.0734238823359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A2-6B48-B2BA-985ED1270A08}"/>
            </c:ext>
          </c:extLst>
        </c:ser>
        <c:ser>
          <c:idx val="1"/>
          <c:order val="1"/>
          <c:tx>
            <c:strRef>
              <c:f>Sheet1!$C$58</c:f>
              <c:strCache>
                <c:ptCount val="1"/>
                <c:pt idx="0">
                  <c:v>Yang's data (2019 ATB)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Sheet1!$A$59:$A$64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xVal>
          <c:yVal>
            <c:numRef>
              <c:f>Sheet1!$C$59:$C$64</c:f>
              <c:numCache>
                <c:formatCode>General</c:formatCode>
                <c:ptCount val="6"/>
                <c:pt idx="0">
                  <c:v>2711.94</c:v>
                </c:pt>
                <c:pt idx="1">
                  <c:v>2007.54</c:v>
                </c:pt>
                <c:pt idx="2">
                  <c:v>1631.8600000000001</c:v>
                </c:pt>
                <c:pt idx="3">
                  <c:v>1438.15</c:v>
                </c:pt>
                <c:pt idx="4">
                  <c:v>1332.49</c:v>
                </c:pt>
                <c:pt idx="5">
                  <c:v>1279.6600000000001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A2-6B48-B2BA-985ED1270A08}"/>
            </c:ext>
          </c:extLst>
        </c:ser>
        <c:ser>
          <c:idx val="2"/>
          <c:order val="2"/>
          <c:tx>
            <c:strRef>
              <c:f>Sheet1!$D$58</c:f>
              <c:strCache>
                <c:ptCount val="1"/>
                <c:pt idx="0">
                  <c:v>GCAM default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Sheet1!$A$59:$A$64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xVal>
          <c:yVal>
            <c:numRef>
              <c:f>Sheet1!$D$59:$D$64</c:f>
              <c:numCache>
                <c:formatCode>General</c:formatCode>
                <c:ptCount val="6"/>
                <c:pt idx="0">
                  <c:v>3375.25</c:v>
                </c:pt>
                <c:pt idx="1">
                  <c:v>2723.68</c:v>
                </c:pt>
                <c:pt idx="2">
                  <c:v>2336.2600000000002</c:v>
                </c:pt>
                <c:pt idx="3">
                  <c:v>2107.33</c:v>
                </c:pt>
                <c:pt idx="4">
                  <c:v>1972.32</c:v>
                </c:pt>
                <c:pt idx="5">
                  <c:v>1896.01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A2-6B48-B2BA-985ED1270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846223"/>
        <c:axId val="2055944832"/>
      </c:scatterChart>
      <c:valAx>
        <c:axId val="181984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944832"/>
        <c:crosses val="autoZero"/>
        <c:crossBetween val="midCat"/>
      </c:valAx>
      <c:valAx>
        <c:axId val="205594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846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Offshore wind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Sheet1!$G$58</c:f>
              <c:strCache>
                <c:ptCount val="1"/>
                <c:pt idx="0">
                  <c:v>2024 NREL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Sheet1!$F$59:$F$64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Sheet1!$G$59:$G$64</c:f>
              <c:numCache>
                <c:formatCode>"$"#,##0</c:formatCode>
                <c:ptCount val="6"/>
                <c:pt idx="0">
                  <c:v>4134.9516999999996</c:v>
                </c:pt>
                <c:pt idx="1">
                  <c:v>3130.94</c:v>
                </c:pt>
                <c:pt idx="2">
                  <c:v>2416.9985999999999</c:v>
                </c:pt>
                <c:pt idx="3">
                  <c:v>2325.8847999999998</c:v>
                </c:pt>
                <c:pt idx="4">
                  <c:v>2257.6610999999998</c:v>
                </c:pt>
                <c:pt idx="5">
                  <c:v>2203.4452000000001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03-D84D-85D7-C80C66D5E4CF}"/>
            </c:ext>
          </c:extLst>
        </c:ser>
        <c:ser>
          <c:idx val="1"/>
          <c:order val="1"/>
          <c:tx>
            <c:strRef>
              <c:f>Sheet1!$H$58</c:f>
              <c:strCache>
                <c:ptCount val="1"/>
                <c:pt idx="0">
                  <c:v>Yang's data (2019 ATB)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Sheet1!$F$59:$F$64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Sheet1!$H$59:$H$64</c:f>
              <c:numCache>
                <c:formatCode>General</c:formatCode>
                <c:ptCount val="6"/>
                <c:pt idx="0">
                  <c:v>3298.94</c:v>
                </c:pt>
                <c:pt idx="1">
                  <c:v>2864.56</c:v>
                </c:pt>
                <c:pt idx="2">
                  <c:v>2588.67</c:v>
                </c:pt>
                <c:pt idx="3">
                  <c:v>2412.5700000000002</c:v>
                </c:pt>
                <c:pt idx="4">
                  <c:v>2301.04</c:v>
                </c:pt>
                <c:pt idx="5">
                  <c:v>2224.73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03-D84D-85D7-C80C66D5E4CF}"/>
            </c:ext>
          </c:extLst>
        </c:ser>
        <c:ser>
          <c:idx val="2"/>
          <c:order val="2"/>
          <c:tx>
            <c:strRef>
              <c:f>Sheet1!$I$58</c:f>
              <c:strCache>
                <c:ptCount val="1"/>
                <c:pt idx="0">
                  <c:v>GCAM default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Sheet1!$F$59:$F$64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Sheet1!$I$59:$I$64</c:f>
              <c:numCache>
                <c:formatCode>General</c:formatCode>
                <c:ptCount val="6"/>
                <c:pt idx="0">
                  <c:v>4819.2700000000004</c:v>
                </c:pt>
                <c:pt idx="1">
                  <c:v>4232.2700000000004</c:v>
                </c:pt>
                <c:pt idx="2">
                  <c:v>3780.28</c:v>
                </c:pt>
                <c:pt idx="3">
                  <c:v>3428.08</c:v>
                </c:pt>
                <c:pt idx="4">
                  <c:v>3158.06</c:v>
                </c:pt>
                <c:pt idx="5">
                  <c:v>2946.7400000000002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03-D84D-85D7-C80C66D5E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030800"/>
        <c:axId val="101402064"/>
      </c:lineChart>
      <c:catAx>
        <c:axId val="48603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02064"/>
        <c:crosses val="autoZero"/>
        <c:auto val="1"/>
        <c:lblAlgn val="ctr"/>
        <c:lblOffset val="100"/>
        <c:noMultiLvlLbl val="0"/>
      </c:catAx>
      <c:valAx>
        <c:axId val="10140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03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Sheet1!$B$67</c:f>
              <c:strCache>
                <c:ptCount val="1"/>
                <c:pt idx="0">
                  <c:v>2024 NREL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Sheet1!$A$68:$A$73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Sheet1!$B$68:$B$73</c:f>
              <c:numCache>
                <c:formatCode>"$"#,##0_);\("$"#,##0\)</c:formatCode>
                <c:ptCount val="6"/>
                <c:pt idx="0">
                  <c:v>3148.7</c:v>
                </c:pt>
                <c:pt idx="1">
                  <c:v>3061.2</c:v>
                </c:pt>
                <c:pt idx="2">
                  <c:v>2973.7</c:v>
                </c:pt>
                <c:pt idx="3">
                  <c:v>2830.9</c:v>
                </c:pt>
                <c:pt idx="4">
                  <c:v>2688.1</c:v>
                </c:pt>
                <c:pt idx="5">
                  <c:v>2545.4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EB-4E4B-B30A-4D711D8ABB33}"/>
            </c:ext>
          </c:extLst>
        </c:ser>
        <c:ser>
          <c:idx val="1"/>
          <c:order val="1"/>
          <c:tx>
            <c:strRef>
              <c:f>Sheet1!$C$67</c:f>
              <c:strCache>
                <c:ptCount val="1"/>
                <c:pt idx="0">
                  <c:v>Yang's data (2019 ATB)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Sheet1!$A$68:$A$73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Sheet1!$C$68:$C$73</c:f>
              <c:numCache>
                <c:formatCode>General</c:formatCode>
                <c:ptCount val="6"/>
                <c:pt idx="0">
                  <c:v>3645.27</c:v>
                </c:pt>
                <c:pt idx="1">
                  <c:v>3410.4700000000003</c:v>
                </c:pt>
                <c:pt idx="2">
                  <c:v>3228.5</c:v>
                </c:pt>
                <c:pt idx="3">
                  <c:v>3087.62</c:v>
                </c:pt>
                <c:pt idx="4">
                  <c:v>2976.09</c:v>
                </c:pt>
                <c:pt idx="5">
                  <c:v>2893.91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EB-4E4B-B30A-4D711D8ABB33}"/>
            </c:ext>
          </c:extLst>
        </c:ser>
        <c:ser>
          <c:idx val="2"/>
          <c:order val="2"/>
          <c:tx>
            <c:strRef>
              <c:f>Sheet1!$D$67</c:f>
              <c:strCache>
                <c:ptCount val="1"/>
                <c:pt idx="0">
                  <c:v>GCAM default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Sheet1!$A$68:$A$73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Sheet1!$D$68:$D$73</c:f>
              <c:numCache>
                <c:formatCode>General</c:formatCode>
                <c:ptCount val="6"/>
                <c:pt idx="0">
                  <c:v>5781.95</c:v>
                </c:pt>
                <c:pt idx="1">
                  <c:v>5705.64</c:v>
                </c:pt>
                <c:pt idx="2">
                  <c:v>5641.07</c:v>
                </c:pt>
                <c:pt idx="3">
                  <c:v>5576.5</c:v>
                </c:pt>
                <c:pt idx="4">
                  <c:v>5523.67</c:v>
                </c:pt>
                <c:pt idx="5">
                  <c:v>5470.84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EB-4E4B-B30A-4D711D8AB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8622703"/>
        <c:axId val="2109393935"/>
      </c:lineChart>
      <c:catAx>
        <c:axId val="147862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393935"/>
        <c:crosses val="autoZero"/>
        <c:auto val="1"/>
        <c:lblAlgn val="ctr"/>
        <c:lblOffset val="100"/>
        <c:noMultiLvlLbl val="0"/>
      </c:catAx>
      <c:valAx>
        <c:axId val="210939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62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Coal CCS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Sheet1!$G$67</c:f>
              <c:strCache>
                <c:ptCount val="1"/>
                <c:pt idx="0">
                  <c:v>2024 NREL data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Sheet1!$F$68:$F$73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xVal>
          <c:yVal>
            <c:numRef>
              <c:f>Sheet1!$G$68:$G$73</c:f>
              <c:numCache>
                <c:formatCode>"$"#,##0_);\("$"#,##0\)</c:formatCode>
                <c:ptCount val="6"/>
                <c:pt idx="0">
                  <c:v>5124.8</c:v>
                </c:pt>
                <c:pt idx="1">
                  <c:v>4811.8999999999996</c:v>
                </c:pt>
                <c:pt idx="2">
                  <c:v>4499</c:v>
                </c:pt>
                <c:pt idx="3">
                  <c:v>4253.3999999999996</c:v>
                </c:pt>
                <c:pt idx="4">
                  <c:v>4007.8</c:v>
                </c:pt>
                <c:pt idx="5">
                  <c:v>3762.1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F5-A341-8BA3-A7651ADE2EA9}"/>
            </c:ext>
          </c:extLst>
        </c:ser>
        <c:ser>
          <c:idx val="1"/>
          <c:order val="1"/>
          <c:tx>
            <c:strRef>
              <c:f>Sheet1!$H$67</c:f>
              <c:strCache>
                <c:ptCount val="1"/>
                <c:pt idx="0">
                  <c:v>Yang's data (2019 ATB)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Sheet1!$F$68:$F$73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xVal>
          <c:yVal>
            <c:numRef>
              <c:f>Sheet1!$H$68:$H$73</c:f>
              <c:numCache>
                <c:formatCode>General</c:formatCode>
                <c:ptCount val="6"/>
                <c:pt idx="0">
                  <c:v>6415.91</c:v>
                </c:pt>
                <c:pt idx="1">
                  <c:v>5846.52</c:v>
                </c:pt>
                <c:pt idx="2">
                  <c:v>5388.66</c:v>
                </c:pt>
                <c:pt idx="3">
                  <c:v>5007.1099999999997</c:v>
                </c:pt>
                <c:pt idx="4">
                  <c:v>4701.87</c:v>
                </c:pt>
                <c:pt idx="5">
                  <c:v>4449.46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F5-A341-8BA3-A7651ADE2EA9}"/>
            </c:ext>
          </c:extLst>
        </c:ser>
        <c:ser>
          <c:idx val="2"/>
          <c:order val="2"/>
          <c:tx>
            <c:strRef>
              <c:f>Sheet1!$I$67</c:f>
              <c:strCache>
                <c:ptCount val="1"/>
                <c:pt idx="0">
                  <c:v>GCAM default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Sheet1!$F$68:$F$73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xVal>
          <c:yVal>
            <c:numRef>
              <c:f>Sheet1!$I$68:$I$73</c:f>
              <c:numCache>
                <c:formatCode>General</c:formatCode>
                <c:ptCount val="6"/>
                <c:pt idx="0">
                  <c:v>8857.83</c:v>
                </c:pt>
                <c:pt idx="1">
                  <c:v>8734.56</c:v>
                </c:pt>
                <c:pt idx="2">
                  <c:v>8617.16</c:v>
                </c:pt>
                <c:pt idx="3">
                  <c:v>8511.5</c:v>
                </c:pt>
                <c:pt idx="4">
                  <c:v>8405.84</c:v>
                </c:pt>
                <c:pt idx="5">
                  <c:v>8306.0499999999993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4F5-A341-8BA3-A7651ADE2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367583"/>
        <c:axId val="1731253567"/>
      </c:scatterChart>
      <c:valAx>
        <c:axId val="198236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253567"/>
        <c:crosses val="autoZero"/>
        <c:crossBetween val="midCat"/>
      </c:valAx>
      <c:valAx>
        <c:axId val="173125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67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Sheet1!$B$77</c:f>
              <c:strCache>
                <c:ptCount val="1"/>
                <c:pt idx="0">
                  <c:v>2024 NREL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Sheet1!$A$78:$A$83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Sheet1!$B$78:$B$83</c:f>
              <c:numCache>
                <c:formatCode>"$"#,##0_);\("$"#,##0\)</c:formatCode>
                <c:ptCount val="6"/>
                <c:pt idx="0">
                  <c:v>1213.0999999999999</c:v>
                </c:pt>
                <c:pt idx="1">
                  <c:v>1159.3</c:v>
                </c:pt>
                <c:pt idx="2">
                  <c:v>1105.5</c:v>
                </c:pt>
                <c:pt idx="3">
                  <c:v>1059.9000000000001</c:v>
                </c:pt>
                <c:pt idx="4">
                  <c:v>1014.4</c:v>
                </c:pt>
                <c:pt idx="5">
                  <c:v>968.9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A2-6E40-92F4-B6E774043534}"/>
            </c:ext>
          </c:extLst>
        </c:ser>
        <c:ser>
          <c:idx val="1"/>
          <c:order val="1"/>
          <c:tx>
            <c:strRef>
              <c:f>Sheet1!$C$77</c:f>
              <c:strCache>
                <c:ptCount val="1"/>
                <c:pt idx="0">
                  <c:v>Yang's data (2019 ATB)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Sheet1!$A$78:$A$83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Sheet1!$C$78:$C$83</c:f>
              <c:numCache>
                <c:formatCode>General</c:formatCode>
                <c:ptCount val="6"/>
                <c:pt idx="0">
                  <c:v>1361.84</c:v>
                </c:pt>
                <c:pt idx="1">
                  <c:v>1297.27</c:v>
                </c:pt>
                <c:pt idx="2">
                  <c:v>1250.31</c:v>
                </c:pt>
                <c:pt idx="3">
                  <c:v>1220.96</c:v>
                </c:pt>
                <c:pt idx="4">
                  <c:v>1197.48</c:v>
                </c:pt>
                <c:pt idx="5">
                  <c:v>1185.74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A2-6E40-92F4-B6E774043534}"/>
            </c:ext>
          </c:extLst>
        </c:ser>
        <c:ser>
          <c:idx val="2"/>
          <c:order val="2"/>
          <c:tx>
            <c:strRef>
              <c:f>Sheet1!$D$77</c:f>
              <c:strCache>
                <c:ptCount val="1"/>
                <c:pt idx="0">
                  <c:v>GCAM default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Sheet1!$A$78:$A$83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Sheet1!$D$78:$D$83</c:f>
              <c:numCache>
                <c:formatCode>General</c:formatCode>
                <c:ptCount val="6"/>
                <c:pt idx="0">
                  <c:v>1444.02</c:v>
                </c:pt>
                <c:pt idx="1">
                  <c:v>1379.45</c:v>
                </c:pt>
                <c:pt idx="2">
                  <c:v>1332.49</c:v>
                </c:pt>
                <c:pt idx="3">
                  <c:v>1303.1400000000001</c:v>
                </c:pt>
                <c:pt idx="4">
                  <c:v>1285.53</c:v>
                </c:pt>
                <c:pt idx="5">
                  <c:v>1273.79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A2-6E40-92F4-B6E774043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394287"/>
        <c:axId val="1478771999"/>
      </c:lineChart>
      <c:catAx>
        <c:axId val="185139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771999"/>
        <c:crosses val="autoZero"/>
        <c:auto val="1"/>
        <c:lblAlgn val="ctr"/>
        <c:lblOffset val="100"/>
        <c:noMultiLvlLbl val="0"/>
      </c:catAx>
      <c:valAx>
        <c:axId val="147877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9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Sheet1!$B$86</c:f>
              <c:strCache>
                <c:ptCount val="1"/>
                <c:pt idx="0">
                  <c:v>2024 NREL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Sheet1!$A$87:$A$92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Sheet1!$B$87:$B$92</c:f>
              <c:numCache>
                <c:formatCode>"$"#,##0_);\("$"#,##0\)</c:formatCode>
                <c:ptCount val="6"/>
                <c:pt idx="0">
                  <c:v>4363.9900114313505</c:v>
                </c:pt>
                <c:pt idx="1">
                  <c:v>4160.9495215525276</c:v>
                </c:pt>
                <c:pt idx="2">
                  <c:v>4022.2687860909209</c:v>
                </c:pt>
                <c:pt idx="3">
                  <c:v>3880.1811443616116</c:v>
                </c:pt>
                <c:pt idx="4">
                  <c:v>3746.7915223673631</c:v>
                </c:pt>
                <c:pt idx="5">
                  <c:v>3587.8684638205809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27-2A47-BF2B-020F3F37EFF6}"/>
            </c:ext>
          </c:extLst>
        </c:ser>
        <c:ser>
          <c:idx val="1"/>
          <c:order val="1"/>
          <c:tx>
            <c:strRef>
              <c:f>Sheet1!$C$86</c:f>
              <c:strCache>
                <c:ptCount val="1"/>
                <c:pt idx="0">
                  <c:v>Yang's data (2019 ATB)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Sheet1!$A$87:$A$92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Sheet1!$C$87:$C$92</c:f>
              <c:numCache>
                <c:formatCode>General</c:formatCode>
                <c:ptCount val="6"/>
                <c:pt idx="0">
                  <c:v>6081.32</c:v>
                </c:pt>
                <c:pt idx="1">
                  <c:v>5905.22</c:v>
                </c:pt>
                <c:pt idx="2">
                  <c:v>5752.6</c:v>
                </c:pt>
                <c:pt idx="3">
                  <c:v>5605.85</c:v>
                </c:pt>
                <c:pt idx="4">
                  <c:v>5476.71</c:v>
                </c:pt>
                <c:pt idx="5">
                  <c:v>5365.18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27-2A47-BF2B-020F3F37EFF6}"/>
            </c:ext>
          </c:extLst>
        </c:ser>
        <c:ser>
          <c:idx val="2"/>
          <c:order val="2"/>
          <c:tx>
            <c:strRef>
              <c:f>Sheet1!$D$86</c:f>
              <c:strCache>
                <c:ptCount val="1"/>
                <c:pt idx="0">
                  <c:v>GCAM default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Sheet1!$A$87:$A$92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Sheet1!$D$87:$D$92</c:f>
              <c:numCache>
                <c:formatCode>General</c:formatCode>
                <c:ptCount val="6"/>
                <c:pt idx="0">
                  <c:v>5993.27</c:v>
                </c:pt>
                <c:pt idx="1">
                  <c:v>5875.87</c:v>
                </c:pt>
                <c:pt idx="2">
                  <c:v>5776.08</c:v>
                </c:pt>
                <c:pt idx="3">
                  <c:v>5682.16</c:v>
                </c:pt>
                <c:pt idx="4">
                  <c:v>5599.9800000000005</c:v>
                </c:pt>
                <c:pt idx="5">
                  <c:v>5523.67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27-2A47-BF2B-020F3F37E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606080"/>
        <c:axId val="1486623343"/>
      </c:lineChart>
      <c:catAx>
        <c:axId val="75260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623343"/>
        <c:crosses val="autoZero"/>
        <c:auto val="1"/>
        <c:lblAlgn val="ctr"/>
        <c:lblOffset val="100"/>
        <c:noMultiLvlLbl val="0"/>
      </c:catAx>
      <c:valAx>
        <c:axId val="148662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0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 CCS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Sheet1!$G$77</c:f>
              <c:strCache>
                <c:ptCount val="1"/>
                <c:pt idx="0">
                  <c:v>2024 NREL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Sheet1!$F$78:$F$83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Sheet1!$G$78:$G$83</c:f>
              <c:numCache>
                <c:formatCode>"$"#,##0_);\("$"#,##0\)</c:formatCode>
                <c:ptCount val="6"/>
                <c:pt idx="0">
                  <c:v>2504.5</c:v>
                </c:pt>
                <c:pt idx="1">
                  <c:v>2250.9</c:v>
                </c:pt>
                <c:pt idx="2">
                  <c:v>1997.4</c:v>
                </c:pt>
                <c:pt idx="3">
                  <c:v>1883.3</c:v>
                </c:pt>
                <c:pt idx="4">
                  <c:v>1769.2</c:v>
                </c:pt>
                <c:pt idx="5">
                  <c:v>1655.1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F-6E40-B99D-66EEBD8F187A}"/>
            </c:ext>
          </c:extLst>
        </c:ser>
        <c:ser>
          <c:idx val="1"/>
          <c:order val="1"/>
          <c:tx>
            <c:strRef>
              <c:f>Sheet1!$H$77</c:f>
              <c:strCache>
                <c:ptCount val="1"/>
                <c:pt idx="0">
                  <c:v>Yang's data (2019 ATB)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Sheet1!$F$78:$F$83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Sheet1!$H$78:$H$83</c:f>
              <c:numCache>
                <c:formatCode>General</c:formatCode>
                <c:ptCount val="6"/>
                <c:pt idx="0">
                  <c:v>3169.8</c:v>
                </c:pt>
                <c:pt idx="1">
                  <c:v>2811.73</c:v>
                </c:pt>
                <c:pt idx="2">
                  <c:v>2559.3200000000002</c:v>
                </c:pt>
                <c:pt idx="3">
                  <c:v>2389.09</c:v>
                </c:pt>
                <c:pt idx="4">
                  <c:v>2265.8200000000002</c:v>
                </c:pt>
                <c:pt idx="5">
                  <c:v>2183.64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EF-6E40-B99D-66EEBD8F187A}"/>
            </c:ext>
          </c:extLst>
        </c:ser>
        <c:ser>
          <c:idx val="2"/>
          <c:order val="2"/>
          <c:tx>
            <c:strRef>
              <c:f>Sheet1!$I$77</c:f>
              <c:strCache>
                <c:ptCount val="1"/>
                <c:pt idx="0">
                  <c:v>GCAM default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Sheet1!$F$78:$F$83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Sheet1!$I$78:$I$83</c:f>
              <c:numCache>
                <c:formatCode>General</c:formatCode>
                <c:ptCount val="6"/>
                <c:pt idx="0">
                  <c:v>3263.7200000000003</c:v>
                </c:pt>
                <c:pt idx="1">
                  <c:v>3152.19</c:v>
                </c:pt>
                <c:pt idx="2">
                  <c:v>3064.14</c:v>
                </c:pt>
                <c:pt idx="3">
                  <c:v>2981.96</c:v>
                </c:pt>
                <c:pt idx="4">
                  <c:v>2917.39</c:v>
                </c:pt>
                <c:pt idx="5">
                  <c:v>2858.69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EF-6E40-B99D-66EEBD8F1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997120"/>
        <c:axId val="240998848"/>
      </c:lineChart>
      <c:catAx>
        <c:axId val="24099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998848"/>
        <c:crosses val="autoZero"/>
        <c:auto val="1"/>
        <c:lblAlgn val="ctr"/>
        <c:lblOffset val="100"/>
        <c:noMultiLvlLbl val="0"/>
      </c:catAx>
      <c:valAx>
        <c:axId val="24099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99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Sheet1!$B$112</c:f>
              <c:strCache>
                <c:ptCount val="1"/>
                <c:pt idx="0">
                  <c:v>GCAM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Sheet1!$A$113:$A$114</c:f>
              <c:numCache>
                <c:formatCode>General</c:formatCode>
                <c:ptCount val="2"/>
                <c:pt idx="0">
                  <c:v>2020</c:v>
                </c:pt>
                <c:pt idx="1">
                  <c:v>2025</c:v>
                </c:pt>
              </c:numCache>
            </c:numRef>
          </c:cat>
          <c:val>
            <c:numRef>
              <c:f>Sheet1!$B$113:$B$114</c:f>
              <c:numCache>
                <c:formatCode>General</c:formatCode>
                <c:ptCount val="2"/>
                <c:pt idx="0">
                  <c:v>43887.859400000001</c:v>
                </c:pt>
                <c:pt idx="1">
                  <c:v>38849.2356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07-704A-9BDB-9272CBCB48D7}"/>
            </c:ext>
          </c:extLst>
        </c:ser>
        <c:ser>
          <c:idx val="1"/>
          <c:order val="1"/>
          <c:tx>
            <c:strRef>
              <c:f>Sheet1!$C$112</c:f>
              <c:strCache>
                <c:ptCount val="1"/>
                <c:pt idx="0">
                  <c:v>Model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Sheet1!$A$113:$A$114</c:f>
              <c:numCache>
                <c:formatCode>General</c:formatCode>
                <c:ptCount val="2"/>
                <c:pt idx="0">
                  <c:v>2020</c:v>
                </c:pt>
                <c:pt idx="1">
                  <c:v>2025</c:v>
                </c:pt>
              </c:numCache>
            </c:numRef>
          </c:cat>
          <c:val>
            <c:numRef>
              <c:f>Sheet1!$C$113:$C$114</c:f>
              <c:numCache>
                <c:formatCode>General</c:formatCode>
                <c:ptCount val="2"/>
                <c:pt idx="0">
                  <c:v>54190</c:v>
                </c:pt>
                <c:pt idx="1">
                  <c:v>46880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07-704A-9BDB-9272CBCB4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1346160"/>
        <c:axId val="298117200"/>
      </c:lineChart>
      <c:catAx>
        <c:axId val="172134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117200"/>
        <c:crosses val="autoZero"/>
        <c:auto val="1"/>
        <c:lblAlgn val="ctr"/>
        <c:lblOffset val="100"/>
        <c:noMultiLvlLbl val="0"/>
      </c:catAx>
      <c:valAx>
        <c:axId val="29811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34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Large</a:t>
            </a:r>
            <a:r>
              <a:rPr lang="en-US" baseline="0"/>
              <a:t> Car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Sheet1!$B$116</c:f>
              <c:strCache>
                <c:ptCount val="1"/>
                <c:pt idx="0">
                  <c:v>GCAM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Sheet1!$A$117:$A$118</c:f>
              <c:numCache>
                <c:formatCode>General</c:formatCode>
                <c:ptCount val="2"/>
                <c:pt idx="0">
                  <c:v>2020</c:v>
                </c:pt>
                <c:pt idx="1">
                  <c:v>2025</c:v>
                </c:pt>
              </c:numCache>
            </c:numRef>
          </c:cat>
          <c:val>
            <c:numRef>
              <c:f>Sheet1!$B$117:$B$118</c:f>
              <c:numCache>
                <c:formatCode>General</c:formatCode>
                <c:ptCount val="2"/>
                <c:pt idx="0">
                  <c:v>69288.6636</c:v>
                </c:pt>
                <c:pt idx="1">
                  <c:v>61971.107400000001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11-7746-B1A7-6A65149DB261}"/>
            </c:ext>
          </c:extLst>
        </c:ser>
        <c:ser>
          <c:idx val="1"/>
          <c:order val="1"/>
          <c:tx>
            <c:strRef>
              <c:f>Sheet1!$C$116</c:f>
              <c:strCache>
                <c:ptCount val="1"/>
                <c:pt idx="0">
                  <c:v>Model 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Sheet1!$A$117:$A$118</c:f>
              <c:numCache>
                <c:formatCode>General</c:formatCode>
                <c:ptCount val="2"/>
                <c:pt idx="0">
                  <c:v>2020</c:v>
                </c:pt>
                <c:pt idx="1">
                  <c:v>2025</c:v>
                </c:pt>
              </c:numCache>
            </c:numRef>
          </c:cat>
          <c:val>
            <c:numRef>
              <c:f>Sheet1!$C$117:$C$118</c:f>
              <c:numCache>
                <c:formatCode>"$"#,##0_);[Red]\("$"#,##0\)</c:formatCode>
                <c:ptCount val="2"/>
                <c:pt idx="0">
                  <c:v>81190</c:v>
                </c:pt>
                <c:pt idx="1">
                  <c:v>81880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11-7746-B1A7-6A65149DB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46192"/>
        <c:axId val="1744387071"/>
      </c:lineChart>
      <c:catAx>
        <c:axId val="20214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387071"/>
        <c:crosses val="autoZero"/>
        <c:auto val="1"/>
        <c:lblAlgn val="ctr"/>
        <c:lblOffset val="100"/>
        <c:noMultiLvlLbl val="0"/>
      </c:catAx>
      <c:valAx>
        <c:axId val="174438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749013</xdr:colOff>
      <xdr:row>37</xdr:row>
      <xdr:rowOff>156637</xdr:rowOff>
    </xdr:from>
    <xdr:to>
      <xdr:col>21</xdr:col>
      <xdr:colOff>528086</xdr:colOff>
      <xdr:row>58</xdr:row>
      <xdr:rowOff>132561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CC2CE-DD93-4F05-66DB-06A3BB891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85529</xdr:colOff>
      <xdr:row>39</xdr:row>
      <xdr:rowOff>104261</xdr:rowOff>
    </xdr:from>
    <xdr:to>
      <xdr:col>30</xdr:col>
      <xdr:colOff>466529</xdr:colOff>
      <xdr:row>57</xdr:row>
      <xdr:rowOff>53726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F0C428-1B64-0474-0C53-912C7F882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209723</xdr:colOff>
      <xdr:row>63</xdr:row>
      <xdr:rowOff>128020</xdr:rowOff>
    </xdr:from>
    <xdr:to>
      <xdr:col>21</xdr:col>
      <xdr:colOff>8639</xdr:colOff>
      <xdr:row>87</xdr:row>
      <xdr:rowOff>15659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5EE1FD-5330-8795-EA6F-67C321401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826363</xdr:colOff>
      <xdr:row>64</xdr:row>
      <xdr:rowOff>316</xdr:rowOff>
    </xdr:from>
    <xdr:to>
      <xdr:col>30</xdr:col>
      <xdr:colOff>417661</xdr:colOff>
      <xdr:row>83</xdr:row>
      <xdr:rowOff>55614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49D7C4-FA26-BF29-BA31-A4FA3877F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273437</xdr:colOff>
      <xdr:row>87</xdr:row>
      <xdr:rowOff>131665</xdr:rowOff>
    </xdr:from>
    <xdr:to>
      <xdr:col>21</xdr:col>
      <xdr:colOff>62634</xdr:colOff>
      <xdr:row>108</xdr:row>
      <xdr:rowOff>129592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1BBC58-A4ED-BD80-5F59-1E90B9BA2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72571</xdr:colOff>
      <xdr:row>87</xdr:row>
      <xdr:rowOff>40949</xdr:rowOff>
    </xdr:from>
    <xdr:to>
      <xdr:col>30</xdr:col>
      <xdr:colOff>479489</xdr:colOff>
      <xdr:row>109</xdr:row>
      <xdr:rowOff>116632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D5314E-B903-703C-4F74-1ACCC8700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176244</xdr:colOff>
      <xdr:row>110</xdr:row>
      <xdr:rowOff>2074</xdr:rowOff>
    </xdr:from>
    <xdr:to>
      <xdr:col>21</xdr:col>
      <xdr:colOff>129591</xdr:colOff>
      <xdr:row>133</xdr:row>
      <xdr:rowOff>194388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0AB2822-8A7A-6BEC-E3EC-24B298C2B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85531</xdr:colOff>
      <xdr:row>137</xdr:row>
      <xdr:rowOff>131663</xdr:rowOff>
    </xdr:from>
    <xdr:to>
      <xdr:col>21</xdr:col>
      <xdr:colOff>457893</xdr:colOff>
      <xdr:row>160</xdr:row>
      <xdr:rowOff>64795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CA6CA6-54B3-0CCC-EDA3-2AF4DF346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130887</xdr:colOff>
      <xdr:row>110</xdr:row>
      <xdr:rowOff>164064</xdr:rowOff>
    </xdr:from>
    <xdr:to>
      <xdr:col>30</xdr:col>
      <xdr:colOff>492449</xdr:colOff>
      <xdr:row>134</xdr:row>
      <xdr:rowOff>38877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75FDF65-BDC3-75DA-9A8E-3BBE8B721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642775</xdr:colOff>
      <xdr:row>100</xdr:row>
      <xdr:rowOff>86307</xdr:rowOff>
    </xdr:from>
    <xdr:to>
      <xdr:col>11</xdr:col>
      <xdr:colOff>686836</xdr:colOff>
      <xdr:row>118</xdr:row>
      <xdr:rowOff>207346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29EC53E-0186-719B-44FE-E6424905F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228081</xdr:colOff>
      <xdr:row>125</xdr:row>
      <xdr:rowOff>73350</xdr:rowOff>
    </xdr:from>
    <xdr:to>
      <xdr:col>11</xdr:col>
      <xdr:colOff>311021</xdr:colOff>
      <xdr:row>145</xdr:row>
      <xdr:rowOff>116633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6467520-46FC-1A7C-B592-16C19BBA3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72DD-6D43-C24E-91F9-DADC7C412C81}">
  <dimension ref="A1:AU153"/>
  <sheetViews>
    <sheetView topLeftCell="A11" zoomScale="97" workbookViewId="0">
      <selection activeCell="H41" sqref="H41"/>
    </sheetView>
  </sheetViews>
  <sheetFormatPr baseColWidth="10" defaultRowHeight="16" x14ac:dyDescent="0.2"/>
  <sheetData>
    <row r="1" spans="1:47" x14ac:dyDescent="0.2">
      <c r="B1">
        <v>2020</v>
      </c>
      <c r="C1">
        <v>2025</v>
      </c>
      <c r="D1">
        <v>2030</v>
      </c>
      <c r="E1">
        <v>2035</v>
      </c>
      <c r="F1">
        <v>2040</v>
      </c>
      <c r="G1">
        <v>2045</v>
      </c>
      <c r="H1">
        <v>2050</v>
      </c>
      <c r="K1" t="s">
        <v>0</v>
      </c>
      <c r="L1" t="s">
        <v>1</v>
      </c>
      <c r="M1" t="s">
        <v>2</v>
      </c>
      <c r="N1" t="s">
        <v>3</v>
      </c>
      <c r="O1" t="s">
        <v>14</v>
      </c>
      <c r="P1" t="s">
        <v>12</v>
      </c>
      <c r="Q1" t="s">
        <v>11</v>
      </c>
      <c r="R1" t="s">
        <v>15</v>
      </c>
      <c r="S1" t="s">
        <v>16</v>
      </c>
    </row>
    <row r="2" spans="1:47" x14ac:dyDescent="0.2">
      <c r="A2" t="s">
        <v>0</v>
      </c>
      <c r="B2">
        <f>1405*M30</f>
        <v>1714.1</v>
      </c>
      <c r="C2" s="3">
        <v>1380.33787020615</v>
      </c>
      <c r="D2" s="3">
        <v>1228.30776055449</v>
      </c>
      <c r="E2" s="3">
        <v>1159.19076643723</v>
      </c>
      <c r="F2" s="3">
        <v>1090.07377231997</v>
      </c>
      <c r="G2" s="3">
        <v>1020.95677820272</v>
      </c>
      <c r="H2" s="3">
        <v>951.83978408546204</v>
      </c>
      <c r="J2">
        <v>2025</v>
      </c>
      <c r="K2" s="3">
        <v>1380.33787020615</v>
      </c>
      <c r="L2" s="1">
        <v>4134.9516999999996</v>
      </c>
      <c r="M2" s="1">
        <v>987.35235212256759</v>
      </c>
      <c r="N2" s="2">
        <v>2518.9680519015233</v>
      </c>
      <c r="O2" s="6">
        <v>5124.8</v>
      </c>
      <c r="P2" s="3">
        <v>3148.7</v>
      </c>
      <c r="Q2" s="6">
        <v>2504.5</v>
      </c>
      <c r="R2" s="6">
        <v>1213.0999999999999</v>
      </c>
      <c r="S2" s="3">
        <v>4363.9900114313505</v>
      </c>
      <c r="T2" s="7"/>
    </row>
    <row r="3" spans="1:47" x14ac:dyDescent="0.2">
      <c r="A3" t="s">
        <v>1</v>
      </c>
      <c r="B3">
        <f>2481*M30</f>
        <v>3026.8199999999997</v>
      </c>
      <c r="C3" s="1">
        <v>4134.9516999999996</v>
      </c>
      <c r="D3" s="1">
        <v>3130.94</v>
      </c>
      <c r="E3" s="1">
        <v>2416.9985999999999</v>
      </c>
      <c r="F3" s="1">
        <v>2325.8847999999998</v>
      </c>
      <c r="G3" s="1">
        <v>2257.6610999999998</v>
      </c>
      <c r="H3" s="1">
        <v>2203.4452000000001</v>
      </c>
      <c r="J3">
        <v>2030</v>
      </c>
      <c r="K3" s="3">
        <v>1228.30776055449</v>
      </c>
      <c r="L3" s="1">
        <v>3130.94</v>
      </c>
      <c r="M3" s="1">
        <v>778.88235203980275</v>
      </c>
      <c r="N3" s="2">
        <v>2110.9266135087</v>
      </c>
      <c r="O3" s="6">
        <v>4811.8999999999996</v>
      </c>
      <c r="P3" s="3">
        <v>3061.2</v>
      </c>
      <c r="Q3" s="6">
        <v>2250.9</v>
      </c>
      <c r="R3" s="6">
        <v>1159.3</v>
      </c>
      <c r="S3" s="3">
        <v>4160.9495215525276</v>
      </c>
      <c r="T3" s="7"/>
    </row>
    <row r="4" spans="1:47" x14ac:dyDescent="0.2">
      <c r="A4" t="s">
        <v>2</v>
      </c>
      <c r="B4">
        <f>1303/1.34*M30</f>
        <v>1186.3134328358208</v>
      </c>
      <c r="C4" s="1">
        <v>987.35235212256759</v>
      </c>
      <c r="D4" s="1">
        <v>778.88235203980275</v>
      </c>
      <c r="E4" s="1">
        <v>570.41235195703837</v>
      </c>
      <c r="F4" s="1">
        <v>519.39813581566045</v>
      </c>
      <c r="G4" s="1">
        <v>468.38391967428259</v>
      </c>
      <c r="H4" s="1">
        <v>417.36970353290496</v>
      </c>
      <c r="J4">
        <v>2035</v>
      </c>
      <c r="K4" s="3">
        <v>1159.19076643723</v>
      </c>
      <c r="L4" s="1">
        <v>2416.9985999999999</v>
      </c>
      <c r="M4" s="1">
        <v>570.41235195703837</v>
      </c>
      <c r="N4" s="2">
        <v>1702.8851751158791</v>
      </c>
      <c r="O4" s="6">
        <v>4499</v>
      </c>
      <c r="P4" s="3">
        <v>2973.7</v>
      </c>
      <c r="Q4" s="6">
        <v>1997.4</v>
      </c>
      <c r="R4" s="6">
        <v>1105.5</v>
      </c>
      <c r="S4" s="3">
        <v>4022.2687860909209</v>
      </c>
      <c r="T4" s="7"/>
    </row>
    <row r="5" spans="1:47" x14ac:dyDescent="0.2">
      <c r="A5" t="s">
        <v>3</v>
      </c>
      <c r="B5">
        <f>2743*M30</f>
        <v>3346.46</v>
      </c>
      <c r="C5" s="2">
        <v>2518.9680519015233</v>
      </c>
      <c r="D5" s="2">
        <v>2110.9266135087</v>
      </c>
      <c r="E5" s="2">
        <v>1702.8851751158791</v>
      </c>
      <c r="F5" s="2">
        <v>1537.9479247046979</v>
      </c>
      <c r="G5" s="2">
        <v>1373.0106742935166</v>
      </c>
      <c r="H5" s="2">
        <v>1208.0734238823359</v>
      </c>
      <c r="J5">
        <v>2040</v>
      </c>
      <c r="K5" s="3">
        <v>1090.07377231997</v>
      </c>
      <c r="L5" s="1">
        <v>2325.8847999999998</v>
      </c>
      <c r="M5" s="1">
        <v>519.39813581566045</v>
      </c>
      <c r="N5" s="2">
        <v>1537.9479247046979</v>
      </c>
      <c r="O5" s="6">
        <v>4253.3999999999996</v>
      </c>
      <c r="P5" s="3">
        <v>2830.9</v>
      </c>
      <c r="Q5" s="6">
        <v>1883.3</v>
      </c>
      <c r="R5" s="6">
        <v>1059.9000000000001</v>
      </c>
      <c r="S5" s="3">
        <v>3880.1811443616116</v>
      </c>
      <c r="T5" s="7"/>
    </row>
    <row r="6" spans="1:47" x14ac:dyDescent="0.2">
      <c r="A6" t="s">
        <v>30</v>
      </c>
      <c r="B6">
        <f>(1910+3566*1.3/2.4)*M30</f>
        <v>4686.7316666666666</v>
      </c>
      <c r="C6">
        <f>2126+4276*1.3/2.4</f>
        <v>4442.166666666667</v>
      </c>
      <c r="D6">
        <f>C6*D15/C15</f>
        <v>3594.8063704098854</v>
      </c>
      <c r="E6">
        <f t="shared" ref="E6:H6" si="0">D6*E15/D15</f>
        <v>2925.6252515304373</v>
      </c>
      <c r="F6">
        <f t="shared" si="0"/>
        <v>2672.3411186544636</v>
      </c>
      <c r="G6">
        <f t="shared" si="0"/>
        <v>2419.0836631749594</v>
      </c>
      <c r="H6">
        <f t="shared" si="0"/>
        <v>2165.8595539616708</v>
      </c>
      <c r="J6">
        <v>2045</v>
      </c>
      <c r="K6" s="3">
        <v>1020.95677820272</v>
      </c>
      <c r="L6" s="1">
        <v>2257.6610999999998</v>
      </c>
      <c r="M6" s="1">
        <v>468.38391967428259</v>
      </c>
      <c r="N6" s="2">
        <v>1373.0106742935166</v>
      </c>
      <c r="O6" s="6">
        <v>4007.8</v>
      </c>
      <c r="P6" s="3">
        <v>2688.1</v>
      </c>
      <c r="Q6" s="6">
        <v>1769.2</v>
      </c>
      <c r="R6" s="6">
        <v>1014.4</v>
      </c>
      <c r="S6" s="3">
        <v>3746.7915223673631</v>
      </c>
      <c r="T6" s="7"/>
    </row>
    <row r="7" spans="1:47" x14ac:dyDescent="0.2">
      <c r="A7" t="s">
        <v>14</v>
      </c>
      <c r="B7">
        <f>4628*M30</f>
        <v>5646.16</v>
      </c>
      <c r="C7" s="6">
        <v>5124.8</v>
      </c>
      <c r="D7" s="6">
        <v>4811.8999999999996</v>
      </c>
      <c r="E7" s="6">
        <v>4499</v>
      </c>
      <c r="F7" s="6">
        <v>4253.3999999999996</v>
      </c>
      <c r="G7" s="6">
        <v>4007.8</v>
      </c>
      <c r="H7" s="6">
        <v>3762.1</v>
      </c>
      <c r="J7">
        <v>2050</v>
      </c>
      <c r="K7" s="3">
        <v>951.83978408546204</v>
      </c>
      <c r="L7" s="1">
        <v>2203.4452000000001</v>
      </c>
      <c r="M7" s="1">
        <v>417.36970353290496</v>
      </c>
      <c r="N7" s="2">
        <v>1208.0734238823359</v>
      </c>
      <c r="O7" s="6">
        <v>3762.1</v>
      </c>
      <c r="P7" s="3">
        <v>2545.4</v>
      </c>
      <c r="Q7" s="6">
        <v>1655.1</v>
      </c>
      <c r="R7" s="6">
        <v>968.9</v>
      </c>
      <c r="S7" s="3">
        <v>3587.8684638205809</v>
      </c>
      <c r="T7" s="7"/>
    </row>
    <row r="8" spans="1:47" x14ac:dyDescent="0.2">
      <c r="A8" t="s">
        <v>12</v>
      </c>
      <c r="B8">
        <f>2568*M30</f>
        <v>3132.96</v>
      </c>
      <c r="C8" s="3">
        <v>3148.7</v>
      </c>
      <c r="D8" s="3">
        <v>3061.2</v>
      </c>
      <c r="E8" s="3">
        <v>2973.7</v>
      </c>
      <c r="F8" s="3">
        <v>2830.9</v>
      </c>
      <c r="G8" s="3">
        <v>2688.1</v>
      </c>
      <c r="H8" s="3">
        <v>2545.4</v>
      </c>
      <c r="V8" t="s">
        <v>0</v>
      </c>
      <c r="W8" t="s">
        <v>1</v>
      </c>
      <c r="X8" t="s">
        <v>2</v>
      </c>
      <c r="Y8" t="s">
        <v>3</v>
      </c>
      <c r="Z8" t="s">
        <v>27</v>
      </c>
      <c r="AA8" t="s">
        <v>10</v>
      </c>
      <c r="AB8" t="s">
        <v>12</v>
      </c>
      <c r="AC8" t="s">
        <v>23</v>
      </c>
      <c r="AD8" t="s">
        <v>26</v>
      </c>
      <c r="AE8" t="s">
        <v>11</v>
      </c>
      <c r="AF8" t="s">
        <v>13</v>
      </c>
      <c r="AG8" t="s">
        <v>16</v>
      </c>
      <c r="AH8" t="s">
        <v>24</v>
      </c>
      <c r="AI8" t="s">
        <v>25</v>
      </c>
    </row>
    <row r="9" spans="1:47" x14ac:dyDescent="0.2">
      <c r="A9" t="s">
        <v>11</v>
      </c>
      <c r="B9">
        <f>2399*M30</f>
        <v>2926.7799999999997</v>
      </c>
      <c r="C9" s="6">
        <v>2504.5</v>
      </c>
      <c r="D9" s="6">
        <v>2250.9</v>
      </c>
      <c r="E9" s="6">
        <v>1997.4</v>
      </c>
      <c r="F9" s="6">
        <v>1883.3</v>
      </c>
      <c r="G9" s="6">
        <v>1769.2</v>
      </c>
      <c r="H9" s="6">
        <v>1655.1</v>
      </c>
      <c r="K9" t="s">
        <v>0</v>
      </c>
      <c r="L9" t="s">
        <v>1</v>
      </c>
      <c r="M9" t="s">
        <v>2</v>
      </c>
      <c r="N9" t="s">
        <v>3</v>
      </c>
      <c r="O9" t="s">
        <v>14</v>
      </c>
      <c r="P9" t="s">
        <v>12</v>
      </c>
      <c r="Q9" t="s">
        <v>11</v>
      </c>
      <c r="R9" t="s">
        <v>15</v>
      </c>
      <c r="S9" t="s">
        <v>16</v>
      </c>
      <c r="U9" t="s">
        <v>8</v>
      </c>
      <c r="V9">
        <v>368</v>
      </c>
      <c r="W9">
        <v>678</v>
      </c>
      <c r="X9">
        <v>567</v>
      </c>
      <c r="Y9">
        <v>690</v>
      </c>
      <c r="Z9">
        <v>960</v>
      </c>
      <c r="AA9">
        <v>1212</v>
      </c>
      <c r="AB9">
        <v>672</v>
      </c>
      <c r="AC9">
        <v>1165</v>
      </c>
      <c r="AD9">
        <v>1884</v>
      </c>
      <c r="AE9">
        <v>628</v>
      </c>
      <c r="AF9">
        <v>248</v>
      </c>
      <c r="AG9">
        <v>1069</v>
      </c>
      <c r="AH9">
        <v>2270</v>
      </c>
      <c r="AI9">
        <v>1796</v>
      </c>
      <c r="AM9">
        <f t="shared" ref="AM9:AP14" si="1">V10*5.87</f>
        <v>1743.39</v>
      </c>
      <c r="AN9">
        <f t="shared" si="1"/>
        <v>3298.94</v>
      </c>
      <c r="AO9">
        <f t="shared" si="1"/>
        <v>1508.59</v>
      </c>
      <c r="AP9">
        <f t="shared" si="1"/>
        <v>2711.94</v>
      </c>
      <c r="AQ9">
        <f t="shared" ref="AQ9:AR14" si="2">AA10*5.87</f>
        <v>6415.91</v>
      </c>
      <c r="AR9">
        <f t="shared" si="2"/>
        <v>3645.27</v>
      </c>
      <c r="AS9">
        <f t="shared" ref="AS9:AU14" si="3">AE10*5.87</f>
        <v>3169.8</v>
      </c>
      <c r="AT9">
        <f t="shared" si="3"/>
        <v>1361.84</v>
      </c>
      <c r="AU9">
        <f t="shared" si="3"/>
        <v>6081.32</v>
      </c>
    </row>
    <row r="10" spans="1:47" x14ac:dyDescent="0.2">
      <c r="A10" t="s">
        <v>15</v>
      </c>
      <c r="B10">
        <f>947*1.22</f>
        <v>1155.3399999999999</v>
      </c>
      <c r="C10" s="6">
        <v>1213.0999999999999</v>
      </c>
      <c r="D10" s="6">
        <v>1159.3</v>
      </c>
      <c r="E10" s="6">
        <v>1105.5</v>
      </c>
      <c r="F10" s="6">
        <v>1059.9000000000001</v>
      </c>
      <c r="G10" s="6">
        <v>1014.4</v>
      </c>
      <c r="H10" s="6">
        <v>968.9</v>
      </c>
      <c r="J10">
        <v>2025</v>
      </c>
      <c r="K10">
        <v>1743.39</v>
      </c>
      <c r="L10">
        <v>3298.94</v>
      </c>
      <c r="M10">
        <v>1508.59</v>
      </c>
      <c r="N10">
        <v>2711.94</v>
      </c>
      <c r="O10">
        <v>6415.91</v>
      </c>
      <c r="P10">
        <v>3645.27</v>
      </c>
      <c r="Q10">
        <v>3169.8</v>
      </c>
      <c r="R10">
        <v>1361.84</v>
      </c>
      <c r="S10">
        <v>6081.32</v>
      </c>
      <c r="V10">
        <v>297</v>
      </c>
      <c r="W10">
        <v>562</v>
      </c>
      <c r="X10">
        <v>257</v>
      </c>
      <c r="Y10">
        <v>462</v>
      </c>
      <c r="Z10">
        <v>783</v>
      </c>
      <c r="AA10">
        <v>1093</v>
      </c>
      <c r="AB10">
        <v>621</v>
      </c>
      <c r="AC10">
        <v>1115</v>
      </c>
      <c r="AD10">
        <v>1793</v>
      </c>
      <c r="AE10">
        <v>540</v>
      </c>
      <c r="AF10">
        <v>232</v>
      </c>
      <c r="AG10">
        <v>1036</v>
      </c>
      <c r="AH10">
        <v>2270</v>
      </c>
      <c r="AI10">
        <v>1796</v>
      </c>
      <c r="AM10">
        <f t="shared" si="1"/>
        <v>1485.1100000000001</v>
      </c>
      <c r="AN10">
        <f t="shared" si="1"/>
        <v>2864.56</v>
      </c>
      <c r="AO10">
        <f t="shared" si="1"/>
        <v>1232.7</v>
      </c>
      <c r="AP10">
        <f t="shared" si="1"/>
        <v>2007.54</v>
      </c>
      <c r="AQ10">
        <f t="shared" si="2"/>
        <v>5846.52</v>
      </c>
      <c r="AR10">
        <f t="shared" si="2"/>
        <v>3410.4700000000003</v>
      </c>
      <c r="AS10">
        <f t="shared" si="3"/>
        <v>2811.73</v>
      </c>
      <c r="AT10">
        <f t="shared" si="3"/>
        <v>1297.27</v>
      </c>
      <c r="AU10">
        <f t="shared" si="3"/>
        <v>5905.22</v>
      </c>
    </row>
    <row r="11" spans="1:47" x14ac:dyDescent="0.2">
      <c r="A11" t="s">
        <v>16</v>
      </c>
      <c r="B11">
        <f>4083*M30</f>
        <v>4981.26</v>
      </c>
      <c r="C11" s="3">
        <v>4363.9900114313505</v>
      </c>
      <c r="D11" s="3">
        <v>4160.9495215525276</v>
      </c>
      <c r="E11" s="3">
        <v>4022.2687860909209</v>
      </c>
      <c r="F11" s="3">
        <v>3880.1811443616116</v>
      </c>
      <c r="G11" s="3">
        <v>3746.7915223673631</v>
      </c>
      <c r="H11" s="3">
        <v>3587.8684638205809</v>
      </c>
      <c r="J11">
        <v>2030</v>
      </c>
      <c r="K11">
        <v>1485.1100000000001</v>
      </c>
      <c r="L11">
        <v>2864.56</v>
      </c>
      <c r="M11">
        <v>1232.7</v>
      </c>
      <c r="N11">
        <v>2007.54</v>
      </c>
      <c r="O11">
        <v>5846.52</v>
      </c>
      <c r="P11">
        <v>3410.4700000000003</v>
      </c>
      <c r="Q11">
        <v>2811.73</v>
      </c>
      <c r="R11">
        <v>1297.27</v>
      </c>
      <c r="S11">
        <v>5905.22</v>
      </c>
      <c r="V11">
        <v>253</v>
      </c>
      <c r="W11">
        <v>488</v>
      </c>
      <c r="X11">
        <v>210</v>
      </c>
      <c r="Y11">
        <v>342</v>
      </c>
      <c r="Z11">
        <v>673</v>
      </c>
      <c r="AA11">
        <v>996</v>
      </c>
      <c r="AB11">
        <v>581</v>
      </c>
      <c r="AC11">
        <v>1075</v>
      </c>
      <c r="AD11">
        <v>1716</v>
      </c>
      <c r="AE11">
        <v>479</v>
      </c>
      <c r="AF11">
        <v>221</v>
      </c>
      <c r="AG11">
        <v>1006</v>
      </c>
      <c r="AH11">
        <v>2270</v>
      </c>
      <c r="AI11">
        <v>1796</v>
      </c>
      <c r="AM11">
        <f t="shared" si="1"/>
        <v>1326.6200000000001</v>
      </c>
      <c r="AN11">
        <f t="shared" si="1"/>
        <v>2588.67</v>
      </c>
      <c r="AO11">
        <f t="shared" si="1"/>
        <v>1074.21</v>
      </c>
      <c r="AP11">
        <f t="shared" si="1"/>
        <v>1631.8600000000001</v>
      </c>
      <c r="AQ11">
        <f t="shared" si="2"/>
        <v>5388.66</v>
      </c>
      <c r="AR11">
        <f t="shared" si="2"/>
        <v>3228.5</v>
      </c>
      <c r="AS11">
        <f t="shared" si="3"/>
        <v>2559.3200000000002</v>
      </c>
      <c r="AT11">
        <f t="shared" si="3"/>
        <v>1250.31</v>
      </c>
      <c r="AU11">
        <f t="shared" si="3"/>
        <v>5752.6</v>
      </c>
    </row>
    <row r="12" spans="1:47" x14ac:dyDescent="0.2">
      <c r="A12" t="s">
        <v>23</v>
      </c>
      <c r="B12">
        <f>4449*M30</f>
        <v>5427.78</v>
      </c>
      <c r="C12" s="6">
        <v>5539.7</v>
      </c>
      <c r="D12" s="6">
        <v>5433.9</v>
      </c>
      <c r="E12" s="6">
        <v>5328.1</v>
      </c>
      <c r="F12" s="6">
        <v>5222.3</v>
      </c>
      <c r="G12" s="6">
        <v>5116.5</v>
      </c>
      <c r="H12" s="6">
        <v>5010.7</v>
      </c>
      <c r="J12">
        <v>2035</v>
      </c>
      <c r="K12">
        <v>1326.6200000000001</v>
      </c>
      <c r="L12">
        <v>2588.67</v>
      </c>
      <c r="M12">
        <v>1074.21</v>
      </c>
      <c r="N12">
        <v>1631.8600000000001</v>
      </c>
      <c r="O12">
        <v>5388.66</v>
      </c>
      <c r="P12">
        <v>3228.5</v>
      </c>
      <c r="Q12">
        <v>2559.3200000000002</v>
      </c>
      <c r="R12">
        <v>1250.31</v>
      </c>
      <c r="S12">
        <v>5752.6</v>
      </c>
      <c r="V12">
        <v>226</v>
      </c>
      <c r="W12">
        <v>441</v>
      </c>
      <c r="X12">
        <v>183</v>
      </c>
      <c r="Y12">
        <v>278</v>
      </c>
      <c r="Z12">
        <v>604</v>
      </c>
      <c r="AA12">
        <v>918</v>
      </c>
      <c r="AB12">
        <v>550</v>
      </c>
      <c r="AC12">
        <v>1042</v>
      </c>
      <c r="AD12">
        <v>1649</v>
      </c>
      <c r="AE12">
        <v>436</v>
      </c>
      <c r="AF12">
        <v>213</v>
      </c>
      <c r="AG12">
        <v>980</v>
      </c>
      <c r="AH12">
        <v>2270</v>
      </c>
      <c r="AI12">
        <v>1796</v>
      </c>
      <c r="AM12">
        <f t="shared" si="1"/>
        <v>1226.83</v>
      </c>
      <c r="AN12">
        <f t="shared" si="1"/>
        <v>2412.5700000000002</v>
      </c>
      <c r="AO12">
        <f t="shared" si="1"/>
        <v>992.03</v>
      </c>
      <c r="AP12">
        <f t="shared" si="1"/>
        <v>1438.15</v>
      </c>
      <c r="AQ12">
        <f t="shared" si="2"/>
        <v>5007.1099999999997</v>
      </c>
      <c r="AR12">
        <f t="shared" si="2"/>
        <v>3087.62</v>
      </c>
      <c r="AS12">
        <f t="shared" si="3"/>
        <v>2389.09</v>
      </c>
      <c r="AT12">
        <f t="shared" si="3"/>
        <v>1220.96</v>
      </c>
      <c r="AU12">
        <f t="shared" si="3"/>
        <v>5605.85</v>
      </c>
    </row>
    <row r="13" spans="1:47" x14ac:dyDescent="0.2">
      <c r="A13" t="s">
        <v>26</v>
      </c>
      <c r="B13">
        <f>B12+B7-B8</f>
        <v>7940.9799999999987</v>
      </c>
      <c r="C13" s="3">
        <v>7919.2</v>
      </c>
      <c r="D13" s="3">
        <v>7766</v>
      </c>
      <c r="E13" s="3">
        <v>7612.8</v>
      </c>
      <c r="F13" s="3">
        <v>7459.7</v>
      </c>
      <c r="G13" s="3">
        <v>7306.5</v>
      </c>
      <c r="H13" s="3">
        <v>7153.3</v>
      </c>
      <c r="J13">
        <v>2040</v>
      </c>
      <c r="K13">
        <v>1226.83</v>
      </c>
      <c r="L13">
        <v>2412.5700000000002</v>
      </c>
      <c r="M13">
        <v>992.03</v>
      </c>
      <c r="N13">
        <v>1438.15</v>
      </c>
      <c r="O13">
        <v>5007.1099999999997</v>
      </c>
      <c r="P13">
        <v>3087.62</v>
      </c>
      <c r="Q13">
        <v>2389.09</v>
      </c>
      <c r="R13">
        <v>1220.96</v>
      </c>
      <c r="S13">
        <v>5605.85</v>
      </c>
      <c r="V13">
        <v>209</v>
      </c>
      <c r="W13">
        <v>411</v>
      </c>
      <c r="X13">
        <v>169</v>
      </c>
      <c r="Y13">
        <v>245</v>
      </c>
      <c r="Z13">
        <v>561</v>
      </c>
      <c r="AA13">
        <v>853</v>
      </c>
      <c r="AB13">
        <v>526</v>
      </c>
      <c r="AC13">
        <v>1015</v>
      </c>
      <c r="AD13">
        <v>1592</v>
      </c>
      <c r="AE13">
        <v>407</v>
      </c>
      <c r="AF13">
        <v>208</v>
      </c>
      <c r="AG13">
        <v>955</v>
      </c>
      <c r="AH13">
        <v>2270</v>
      </c>
      <c r="AI13">
        <v>1796</v>
      </c>
      <c r="AM13">
        <f t="shared" si="1"/>
        <v>1162.26</v>
      </c>
      <c r="AN13">
        <f t="shared" si="1"/>
        <v>2301.04</v>
      </c>
      <c r="AO13">
        <f t="shared" si="1"/>
        <v>939.2</v>
      </c>
      <c r="AP13">
        <f t="shared" si="1"/>
        <v>1332.49</v>
      </c>
      <c r="AQ13">
        <f t="shared" si="2"/>
        <v>4701.87</v>
      </c>
      <c r="AR13">
        <f t="shared" si="2"/>
        <v>2976.09</v>
      </c>
      <c r="AS13">
        <f t="shared" si="3"/>
        <v>2265.8200000000002</v>
      </c>
      <c r="AT13">
        <f t="shared" si="3"/>
        <v>1197.48</v>
      </c>
      <c r="AU13">
        <f t="shared" si="3"/>
        <v>5476.71</v>
      </c>
    </row>
    <row r="14" spans="1:47" x14ac:dyDescent="0.2">
      <c r="A14" t="s">
        <v>29</v>
      </c>
      <c r="B14">
        <f>6242*M30</f>
        <v>7615.24</v>
      </c>
      <c r="C14" s="1">
        <v>6382.5935062578592</v>
      </c>
      <c r="D14" s="1">
        <v>4775.4022255377176</v>
      </c>
      <c r="E14" s="1">
        <v>4604.8521460542261</v>
      </c>
      <c r="F14" s="1">
        <v>4434.3020665707345</v>
      </c>
      <c r="G14" s="1">
        <v>4263.7519870872429</v>
      </c>
      <c r="H14" s="1">
        <v>4093.2019076037577</v>
      </c>
      <c r="J14">
        <v>2045</v>
      </c>
      <c r="K14">
        <v>1162.26</v>
      </c>
      <c r="L14">
        <v>2301.04</v>
      </c>
      <c r="M14">
        <v>939.2</v>
      </c>
      <c r="N14">
        <v>1332.49</v>
      </c>
      <c r="O14">
        <v>4701.87</v>
      </c>
      <c r="P14">
        <v>2976.09</v>
      </c>
      <c r="Q14">
        <v>2265.8200000000002</v>
      </c>
      <c r="R14">
        <v>1197.48</v>
      </c>
      <c r="S14">
        <v>5476.71</v>
      </c>
      <c r="V14">
        <v>198</v>
      </c>
      <c r="W14">
        <v>392</v>
      </c>
      <c r="X14">
        <v>160</v>
      </c>
      <c r="Y14">
        <v>227</v>
      </c>
      <c r="Z14">
        <v>534</v>
      </c>
      <c r="AA14">
        <v>801</v>
      </c>
      <c r="AB14">
        <v>507</v>
      </c>
      <c r="AC14">
        <v>993</v>
      </c>
      <c r="AD14">
        <v>1542</v>
      </c>
      <c r="AE14">
        <v>386</v>
      </c>
      <c r="AF14">
        <v>204</v>
      </c>
      <c r="AG14">
        <v>933</v>
      </c>
      <c r="AH14">
        <v>2270</v>
      </c>
      <c r="AI14">
        <v>1796</v>
      </c>
      <c r="AM14">
        <f t="shared" si="1"/>
        <v>1121.17</v>
      </c>
      <c r="AN14">
        <f t="shared" si="1"/>
        <v>2224.73</v>
      </c>
      <c r="AO14">
        <f t="shared" si="1"/>
        <v>915.72</v>
      </c>
      <c r="AP14">
        <f t="shared" si="1"/>
        <v>1279.6600000000001</v>
      </c>
      <c r="AQ14">
        <f t="shared" si="2"/>
        <v>4449.46</v>
      </c>
      <c r="AR14">
        <f t="shared" si="2"/>
        <v>2893.91</v>
      </c>
      <c r="AS14">
        <f t="shared" si="3"/>
        <v>2183.64</v>
      </c>
      <c r="AT14">
        <f t="shared" si="3"/>
        <v>1185.74</v>
      </c>
      <c r="AU14">
        <f t="shared" si="3"/>
        <v>5365.18</v>
      </c>
    </row>
    <row r="15" spans="1:47" x14ac:dyDescent="0.2">
      <c r="A15" t="s">
        <v>28</v>
      </c>
      <c r="B15">
        <f>1997*M30</f>
        <v>2436.34</v>
      </c>
      <c r="C15" s="11">
        <v>2079.7096821086666</v>
      </c>
      <c r="D15" s="11">
        <v>1682.9970991289579</v>
      </c>
      <c r="E15" s="11">
        <v>1369.7034844474063</v>
      </c>
      <c r="F15" s="11">
        <v>1251.1222823013077</v>
      </c>
      <c r="G15" s="11">
        <v>1132.5535698351096</v>
      </c>
      <c r="H15" s="11">
        <v>1014.0004692443575</v>
      </c>
      <c r="J15">
        <v>2050</v>
      </c>
      <c r="K15">
        <v>1121.17</v>
      </c>
      <c r="L15">
        <v>2224.73</v>
      </c>
      <c r="M15">
        <v>915.72</v>
      </c>
      <c r="N15">
        <v>1279.6600000000001</v>
      </c>
      <c r="O15">
        <v>4449.46</v>
      </c>
      <c r="P15">
        <v>2893.91</v>
      </c>
      <c r="Q15">
        <v>2183.64</v>
      </c>
      <c r="R15">
        <v>1185.74</v>
      </c>
      <c r="S15">
        <v>5365.18</v>
      </c>
      <c r="V15">
        <v>191</v>
      </c>
      <c r="W15">
        <v>379</v>
      </c>
      <c r="X15">
        <v>156</v>
      </c>
      <c r="Y15">
        <v>218</v>
      </c>
      <c r="Z15">
        <v>517</v>
      </c>
      <c r="AA15">
        <v>758</v>
      </c>
      <c r="AB15">
        <v>493</v>
      </c>
      <c r="AC15">
        <v>976</v>
      </c>
      <c r="AD15">
        <v>1500</v>
      </c>
      <c r="AE15">
        <v>372</v>
      </c>
      <c r="AF15">
        <v>202</v>
      </c>
      <c r="AG15">
        <v>914</v>
      </c>
      <c r="AH15">
        <v>2270</v>
      </c>
      <c r="AI15">
        <v>1796</v>
      </c>
    </row>
    <row r="17" spans="1:47" x14ac:dyDescent="0.2">
      <c r="V17" t="s">
        <v>0</v>
      </c>
      <c r="W17" t="s">
        <v>1</v>
      </c>
      <c r="X17" t="s">
        <v>2</v>
      </c>
      <c r="Y17" t="s">
        <v>3</v>
      </c>
      <c r="Z17" t="s">
        <v>10</v>
      </c>
      <c r="AA17" t="s">
        <v>12</v>
      </c>
      <c r="AB17" t="s">
        <v>11</v>
      </c>
      <c r="AC17" t="s">
        <v>13</v>
      </c>
      <c r="AD17" t="s">
        <v>16</v>
      </c>
    </row>
    <row r="18" spans="1:47" x14ac:dyDescent="0.2">
      <c r="K18" t="s">
        <v>0</v>
      </c>
      <c r="L18" t="s">
        <v>1</v>
      </c>
      <c r="M18" t="s">
        <v>2</v>
      </c>
      <c r="N18" t="s">
        <v>3</v>
      </c>
      <c r="O18" t="s">
        <v>14</v>
      </c>
      <c r="P18" t="s">
        <v>12</v>
      </c>
      <c r="Q18" t="s">
        <v>11</v>
      </c>
      <c r="R18" t="s">
        <v>15</v>
      </c>
      <c r="S18" t="s">
        <v>16</v>
      </c>
      <c r="U18" t="s">
        <v>9</v>
      </c>
      <c r="AC18">
        <v>262</v>
      </c>
      <c r="AD18">
        <v>1042</v>
      </c>
    </row>
    <row r="19" spans="1:47" x14ac:dyDescent="0.2">
      <c r="B19">
        <v>2020</v>
      </c>
      <c r="C19">
        <v>2025</v>
      </c>
      <c r="D19">
        <v>2030</v>
      </c>
      <c r="E19">
        <v>2035</v>
      </c>
      <c r="F19">
        <v>2040</v>
      </c>
      <c r="G19">
        <v>2045</v>
      </c>
      <c r="H19">
        <v>2050</v>
      </c>
      <c r="J19">
        <v>2025</v>
      </c>
      <c r="K19">
        <v>2177.77</v>
      </c>
      <c r="L19">
        <v>4819.2700000000004</v>
      </c>
      <c r="M19">
        <v>2154.29</v>
      </c>
      <c r="N19">
        <v>3375.25</v>
      </c>
      <c r="O19">
        <v>8857.83</v>
      </c>
      <c r="P19">
        <v>5781.95</v>
      </c>
      <c r="Q19">
        <v>3263.7200000000003</v>
      </c>
      <c r="R19">
        <v>1444.02</v>
      </c>
      <c r="S19">
        <v>5993.27</v>
      </c>
      <c r="V19">
        <v>371</v>
      </c>
      <c r="W19">
        <v>821</v>
      </c>
      <c r="X19">
        <v>367</v>
      </c>
      <c r="Y19">
        <v>575</v>
      </c>
      <c r="Z19">
        <v>1509</v>
      </c>
      <c r="AA19">
        <v>985</v>
      </c>
      <c r="AB19">
        <v>556</v>
      </c>
      <c r="AC19">
        <v>246</v>
      </c>
      <c r="AD19">
        <v>1021</v>
      </c>
      <c r="AM19">
        <f t="shared" ref="AM19:AU24" si="4">V19*5.87</f>
        <v>2177.77</v>
      </c>
      <c r="AN19">
        <f t="shared" si="4"/>
        <v>4819.2700000000004</v>
      </c>
      <c r="AO19">
        <f t="shared" si="4"/>
        <v>2154.29</v>
      </c>
      <c r="AP19">
        <f t="shared" si="4"/>
        <v>3375.25</v>
      </c>
      <c r="AQ19">
        <f t="shared" si="4"/>
        <v>8857.83</v>
      </c>
      <c r="AR19">
        <f t="shared" si="4"/>
        <v>5781.95</v>
      </c>
      <c r="AS19">
        <f t="shared" si="4"/>
        <v>3263.7200000000003</v>
      </c>
      <c r="AT19">
        <f t="shared" si="4"/>
        <v>1444.02</v>
      </c>
      <c r="AU19">
        <f t="shared" si="4"/>
        <v>5993.27</v>
      </c>
    </row>
    <row r="20" spans="1:47" x14ac:dyDescent="0.2">
      <c r="A20" t="s">
        <v>0</v>
      </c>
      <c r="C20">
        <v>1743.39</v>
      </c>
      <c r="D20">
        <v>1485.1100000000001</v>
      </c>
      <c r="E20">
        <v>1326.6200000000001</v>
      </c>
      <c r="F20">
        <v>1226.83</v>
      </c>
      <c r="G20">
        <v>1162.26</v>
      </c>
      <c r="H20">
        <v>1121.17</v>
      </c>
      <c r="J20">
        <v>2030</v>
      </c>
      <c r="K20">
        <v>2025.15</v>
      </c>
      <c r="L20">
        <v>4232.2700000000004</v>
      </c>
      <c r="M20">
        <v>1766.8700000000001</v>
      </c>
      <c r="N20">
        <v>2723.68</v>
      </c>
      <c r="O20">
        <v>8734.56</v>
      </c>
      <c r="P20">
        <v>5705.64</v>
      </c>
      <c r="Q20">
        <v>3152.19</v>
      </c>
      <c r="R20">
        <v>1379.45</v>
      </c>
      <c r="S20">
        <v>5875.87</v>
      </c>
      <c r="V20">
        <v>345</v>
      </c>
      <c r="W20">
        <v>721</v>
      </c>
      <c r="X20">
        <v>301</v>
      </c>
      <c r="Y20">
        <v>464</v>
      </c>
      <c r="Z20">
        <v>1488</v>
      </c>
      <c r="AA20">
        <v>972</v>
      </c>
      <c r="AB20">
        <v>537</v>
      </c>
      <c r="AC20">
        <v>235</v>
      </c>
      <c r="AD20">
        <v>1001</v>
      </c>
      <c r="AM20">
        <f t="shared" si="4"/>
        <v>2025.15</v>
      </c>
      <c r="AN20">
        <f t="shared" si="4"/>
        <v>4232.2700000000004</v>
      </c>
      <c r="AO20">
        <f t="shared" si="4"/>
        <v>1766.8700000000001</v>
      </c>
      <c r="AP20">
        <f t="shared" si="4"/>
        <v>2723.68</v>
      </c>
      <c r="AQ20">
        <f t="shared" si="4"/>
        <v>8734.56</v>
      </c>
      <c r="AR20">
        <f t="shared" si="4"/>
        <v>5705.64</v>
      </c>
      <c r="AS20">
        <f t="shared" si="4"/>
        <v>3152.19</v>
      </c>
      <c r="AT20">
        <f t="shared" si="4"/>
        <v>1379.45</v>
      </c>
      <c r="AU20">
        <f t="shared" si="4"/>
        <v>5875.87</v>
      </c>
    </row>
    <row r="21" spans="1:47" x14ac:dyDescent="0.2">
      <c r="A21" t="s">
        <v>1</v>
      </c>
      <c r="C21">
        <v>3298.94</v>
      </c>
      <c r="D21">
        <v>2864.56</v>
      </c>
      <c r="E21">
        <v>2588.67</v>
      </c>
      <c r="F21">
        <v>2412.5700000000002</v>
      </c>
      <c r="G21">
        <v>2301.04</v>
      </c>
      <c r="H21">
        <v>2224.73</v>
      </c>
      <c r="J21">
        <v>2035</v>
      </c>
      <c r="K21">
        <v>1901.88</v>
      </c>
      <c r="L21">
        <v>3780.28</v>
      </c>
      <c r="M21">
        <v>1543.81</v>
      </c>
      <c r="N21">
        <v>2336.2600000000002</v>
      </c>
      <c r="O21">
        <v>8617.16</v>
      </c>
      <c r="P21">
        <v>5641.07</v>
      </c>
      <c r="Q21">
        <v>3064.14</v>
      </c>
      <c r="R21">
        <v>1332.49</v>
      </c>
      <c r="S21">
        <v>5776.08</v>
      </c>
      <c r="V21">
        <v>324</v>
      </c>
      <c r="W21">
        <v>644</v>
      </c>
      <c r="X21">
        <v>263</v>
      </c>
      <c r="Y21">
        <v>398</v>
      </c>
      <c r="Z21">
        <v>1468</v>
      </c>
      <c r="AA21">
        <v>961</v>
      </c>
      <c r="AB21">
        <v>522</v>
      </c>
      <c r="AC21">
        <v>227</v>
      </c>
      <c r="AD21">
        <v>984</v>
      </c>
      <c r="AM21">
        <f t="shared" si="4"/>
        <v>1901.88</v>
      </c>
      <c r="AN21">
        <f t="shared" si="4"/>
        <v>3780.28</v>
      </c>
      <c r="AO21">
        <f t="shared" si="4"/>
        <v>1543.81</v>
      </c>
      <c r="AP21">
        <f t="shared" si="4"/>
        <v>2336.2600000000002</v>
      </c>
      <c r="AQ21">
        <f t="shared" si="4"/>
        <v>8617.16</v>
      </c>
      <c r="AR21">
        <f t="shared" si="4"/>
        <v>5641.07</v>
      </c>
      <c r="AS21">
        <f t="shared" si="4"/>
        <v>3064.14</v>
      </c>
      <c r="AT21">
        <f t="shared" si="4"/>
        <v>1332.49</v>
      </c>
      <c r="AU21">
        <f t="shared" si="4"/>
        <v>5776.08</v>
      </c>
    </row>
    <row r="22" spans="1:47" x14ac:dyDescent="0.2">
      <c r="A22" t="s">
        <v>2</v>
      </c>
      <c r="C22">
        <v>1508.59</v>
      </c>
      <c r="D22">
        <v>1232.7</v>
      </c>
      <c r="E22">
        <v>1074.21</v>
      </c>
      <c r="F22">
        <v>992.03</v>
      </c>
      <c r="G22">
        <v>939.2</v>
      </c>
      <c r="H22">
        <v>915.72</v>
      </c>
      <c r="J22">
        <v>2040</v>
      </c>
      <c r="K22">
        <v>1807.96</v>
      </c>
      <c r="L22">
        <v>3428.08</v>
      </c>
      <c r="M22">
        <v>1408.8</v>
      </c>
      <c r="N22">
        <v>2107.33</v>
      </c>
      <c r="O22">
        <v>8511.5</v>
      </c>
      <c r="P22">
        <v>5576.5</v>
      </c>
      <c r="Q22">
        <v>2981.96</v>
      </c>
      <c r="R22">
        <v>1303.1400000000001</v>
      </c>
      <c r="S22">
        <v>5682.16</v>
      </c>
      <c r="V22">
        <v>308</v>
      </c>
      <c r="W22">
        <v>584</v>
      </c>
      <c r="X22">
        <v>240</v>
      </c>
      <c r="Y22">
        <v>359</v>
      </c>
      <c r="Z22">
        <v>1450</v>
      </c>
      <c r="AA22">
        <v>950</v>
      </c>
      <c r="AB22">
        <v>508</v>
      </c>
      <c r="AC22">
        <v>222</v>
      </c>
      <c r="AD22">
        <v>968</v>
      </c>
      <c r="AM22">
        <f t="shared" si="4"/>
        <v>1807.96</v>
      </c>
      <c r="AN22">
        <f t="shared" si="4"/>
        <v>3428.08</v>
      </c>
      <c r="AO22">
        <f t="shared" si="4"/>
        <v>1408.8</v>
      </c>
      <c r="AP22">
        <f t="shared" si="4"/>
        <v>2107.33</v>
      </c>
      <c r="AQ22">
        <f t="shared" si="4"/>
        <v>8511.5</v>
      </c>
      <c r="AR22">
        <f t="shared" si="4"/>
        <v>5576.5</v>
      </c>
      <c r="AS22">
        <f t="shared" si="4"/>
        <v>2981.96</v>
      </c>
      <c r="AT22">
        <f t="shared" si="4"/>
        <v>1303.1400000000001</v>
      </c>
      <c r="AU22">
        <f t="shared" si="4"/>
        <v>5682.16</v>
      </c>
    </row>
    <row r="23" spans="1:47" x14ac:dyDescent="0.2">
      <c r="A23" t="s">
        <v>3</v>
      </c>
      <c r="C23">
        <v>2711.94</v>
      </c>
      <c r="D23">
        <v>2007.54</v>
      </c>
      <c r="E23">
        <v>1631.8600000000001</v>
      </c>
      <c r="F23">
        <v>1438.15</v>
      </c>
      <c r="G23">
        <v>1332.49</v>
      </c>
      <c r="H23">
        <v>1279.6600000000001</v>
      </c>
      <c r="J23">
        <v>2045</v>
      </c>
      <c r="K23">
        <v>1731.65</v>
      </c>
      <c r="L23">
        <v>3158.06</v>
      </c>
      <c r="M23">
        <v>1326.6200000000001</v>
      </c>
      <c r="N23">
        <v>1972.32</v>
      </c>
      <c r="O23">
        <v>8405.84</v>
      </c>
      <c r="P23">
        <v>5523.67</v>
      </c>
      <c r="Q23">
        <v>2917.39</v>
      </c>
      <c r="R23">
        <v>1285.53</v>
      </c>
      <c r="S23">
        <v>5599.9800000000005</v>
      </c>
      <c r="V23">
        <v>295</v>
      </c>
      <c r="W23">
        <v>538</v>
      </c>
      <c r="X23">
        <v>226</v>
      </c>
      <c r="Y23">
        <v>336</v>
      </c>
      <c r="Z23">
        <v>1432</v>
      </c>
      <c r="AA23">
        <v>941</v>
      </c>
      <c r="AB23">
        <v>497</v>
      </c>
      <c r="AC23">
        <v>219</v>
      </c>
      <c r="AD23">
        <v>954</v>
      </c>
      <c r="AM23">
        <f t="shared" si="4"/>
        <v>1731.65</v>
      </c>
      <c r="AN23">
        <f t="shared" si="4"/>
        <v>3158.06</v>
      </c>
      <c r="AO23">
        <f t="shared" si="4"/>
        <v>1326.6200000000001</v>
      </c>
      <c r="AP23">
        <f t="shared" si="4"/>
        <v>1972.32</v>
      </c>
      <c r="AQ23">
        <f t="shared" si="4"/>
        <v>8405.84</v>
      </c>
      <c r="AR23">
        <f t="shared" si="4"/>
        <v>5523.67</v>
      </c>
      <c r="AS23">
        <f t="shared" si="4"/>
        <v>2917.39</v>
      </c>
      <c r="AT23">
        <f t="shared" si="4"/>
        <v>1285.53</v>
      </c>
      <c r="AU23">
        <f t="shared" si="4"/>
        <v>5599.9800000000005</v>
      </c>
    </row>
    <row r="24" spans="1:47" x14ac:dyDescent="0.2">
      <c r="A24" t="s">
        <v>14</v>
      </c>
      <c r="C24">
        <v>6415.91</v>
      </c>
      <c r="D24">
        <v>5846.52</v>
      </c>
      <c r="E24">
        <v>5388.66</v>
      </c>
      <c r="F24">
        <v>5007.1099999999997</v>
      </c>
      <c r="G24">
        <v>4701.87</v>
      </c>
      <c r="H24">
        <v>4449.46</v>
      </c>
      <c r="J24">
        <v>2050</v>
      </c>
      <c r="K24">
        <v>1678.82</v>
      </c>
      <c r="L24">
        <v>2946.7400000000002</v>
      </c>
      <c r="M24">
        <v>1279.6600000000001</v>
      </c>
      <c r="N24">
        <v>1896.01</v>
      </c>
      <c r="O24">
        <v>8306.0499999999993</v>
      </c>
      <c r="P24">
        <v>5470.84</v>
      </c>
      <c r="Q24">
        <v>2858.69</v>
      </c>
      <c r="R24">
        <v>1273.79</v>
      </c>
      <c r="S24">
        <v>5523.67</v>
      </c>
      <c r="V24">
        <v>286</v>
      </c>
      <c r="W24">
        <v>502</v>
      </c>
      <c r="X24">
        <v>218</v>
      </c>
      <c r="Y24">
        <v>323</v>
      </c>
      <c r="Z24">
        <v>1415</v>
      </c>
      <c r="AA24">
        <v>932</v>
      </c>
      <c r="AB24">
        <v>487</v>
      </c>
      <c r="AC24">
        <v>217</v>
      </c>
      <c r="AD24">
        <v>941</v>
      </c>
      <c r="AM24">
        <f t="shared" si="4"/>
        <v>1678.82</v>
      </c>
      <c r="AN24">
        <f t="shared" si="4"/>
        <v>2946.7400000000002</v>
      </c>
      <c r="AO24">
        <f t="shared" si="4"/>
        <v>1279.6600000000001</v>
      </c>
      <c r="AP24">
        <f t="shared" si="4"/>
        <v>1896.01</v>
      </c>
      <c r="AQ24">
        <f t="shared" si="4"/>
        <v>8306.0499999999993</v>
      </c>
      <c r="AR24">
        <f t="shared" si="4"/>
        <v>5470.84</v>
      </c>
      <c r="AS24">
        <f t="shared" si="4"/>
        <v>2858.69</v>
      </c>
      <c r="AT24">
        <f t="shared" si="4"/>
        <v>1273.79</v>
      </c>
      <c r="AU24">
        <f t="shared" si="4"/>
        <v>5523.67</v>
      </c>
    </row>
    <row r="25" spans="1:47" x14ac:dyDescent="0.2">
      <c r="A25" t="s">
        <v>12</v>
      </c>
      <c r="C25">
        <v>3645.27</v>
      </c>
      <c r="D25">
        <v>3410.4700000000003</v>
      </c>
      <c r="E25">
        <v>3228.5</v>
      </c>
      <c r="F25">
        <v>3087.62</v>
      </c>
      <c r="G25">
        <v>2976.09</v>
      </c>
      <c r="H25">
        <v>2893.91</v>
      </c>
    </row>
    <row r="26" spans="1:47" x14ac:dyDescent="0.2">
      <c r="A26" t="s">
        <v>11</v>
      </c>
      <c r="C26">
        <v>3169.8</v>
      </c>
      <c r="D26">
        <v>2811.73</v>
      </c>
      <c r="E26">
        <v>2559.3200000000002</v>
      </c>
      <c r="F26">
        <v>2389.09</v>
      </c>
      <c r="G26">
        <v>2265.8200000000002</v>
      </c>
      <c r="H26">
        <v>2183.64</v>
      </c>
      <c r="L26" s="8"/>
    </row>
    <row r="27" spans="1:47" x14ac:dyDescent="0.2">
      <c r="A27" t="s">
        <v>15</v>
      </c>
      <c r="C27">
        <v>1361.84</v>
      </c>
      <c r="D27">
        <v>1297.27</v>
      </c>
      <c r="E27">
        <v>1250.31</v>
      </c>
      <c r="F27">
        <v>1220.96</v>
      </c>
      <c r="G27">
        <v>1197.48</v>
      </c>
      <c r="H27">
        <v>1185.74</v>
      </c>
    </row>
    <row r="28" spans="1:47" x14ac:dyDescent="0.2">
      <c r="A28" t="s">
        <v>16</v>
      </c>
      <c r="C28">
        <v>6081.32</v>
      </c>
      <c r="D28">
        <v>5905.22</v>
      </c>
      <c r="E28">
        <v>5752.6</v>
      </c>
      <c r="F28">
        <v>5605.85</v>
      </c>
      <c r="G28">
        <v>5476.71</v>
      </c>
      <c r="H28">
        <v>5365.18</v>
      </c>
    </row>
    <row r="29" spans="1:47" x14ac:dyDescent="0.2">
      <c r="M29" t="s">
        <v>22</v>
      </c>
    </row>
    <row r="30" spans="1:47" x14ac:dyDescent="0.2">
      <c r="M30">
        <v>1.22</v>
      </c>
    </row>
    <row r="34" spans="1:8" x14ac:dyDescent="0.2">
      <c r="B34">
        <v>2020</v>
      </c>
      <c r="C34">
        <v>2025</v>
      </c>
      <c r="D34">
        <v>2030</v>
      </c>
      <c r="E34">
        <v>2035</v>
      </c>
      <c r="F34">
        <v>2040</v>
      </c>
      <c r="G34">
        <v>2045</v>
      </c>
      <c r="H34">
        <v>2050</v>
      </c>
    </row>
    <row r="35" spans="1:8" x14ac:dyDescent="0.2">
      <c r="A35" t="s">
        <v>0</v>
      </c>
      <c r="C35">
        <v>2177.77</v>
      </c>
      <c r="D35">
        <v>2025.15</v>
      </c>
      <c r="E35">
        <v>1901.88</v>
      </c>
      <c r="F35">
        <v>1807.96</v>
      </c>
      <c r="G35">
        <v>1731.65</v>
      </c>
      <c r="H35">
        <v>1678.82</v>
      </c>
    </row>
    <row r="36" spans="1:8" x14ac:dyDescent="0.2">
      <c r="A36" t="s">
        <v>1</v>
      </c>
      <c r="C36">
        <v>4819.2700000000004</v>
      </c>
      <c r="D36">
        <v>4232.2700000000004</v>
      </c>
      <c r="E36">
        <v>3780.28</v>
      </c>
      <c r="F36">
        <v>3428.08</v>
      </c>
      <c r="G36">
        <v>3158.06</v>
      </c>
      <c r="H36">
        <v>2946.7400000000002</v>
      </c>
    </row>
    <row r="37" spans="1:8" x14ac:dyDescent="0.2">
      <c r="A37" t="s">
        <v>2</v>
      </c>
      <c r="C37">
        <v>2154.29</v>
      </c>
      <c r="D37">
        <v>1766.8700000000001</v>
      </c>
      <c r="E37">
        <v>1543.81</v>
      </c>
      <c r="F37">
        <v>1408.8</v>
      </c>
      <c r="G37">
        <v>1326.6200000000001</v>
      </c>
      <c r="H37">
        <v>1279.6600000000001</v>
      </c>
    </row>
    <row r="38" spans="1:8" x14ac:dyDescent="0.2">
      <c r="A38" t="s">
        <v>3</v>
      </c>
      <c r="C38">
        <v>3375.25</v>
      </c>
      <c r="D38">
        <v>2723.68</v>
      </c>
      <c r="E38">
        <v>2336.2600000000002</v>
      </c>
      <c r="F38">
        <v>2107.33</v>
      </c>
      <c r="G38">
        <v>1972.32</v>
      </c>
      <c r="H38">
        <v>1896.01</v>
      </c>
    </row>
    <row r="39" spans="1:8" x14ac:dyDescent="0.2">
      <c r="A39" t="s">
        <v>14</v>
      </c>
      <c r="C39">
        <v>8857.83</v>
      </c>
      <c r="D39">
        <v>8734.56</v>
      </c>
      <c r="E39">
        <v>8617.16</v>
      </c>
      <c r="F39">
        <v>8511.5</v>
      </c>
      <c r="G39">
        <v>8405.84</v>
      </c>
      <c r="H39">
        <v>8306.0499999999993</v>
      </c>
    </row>
    <row r="40" spans="1:8" x14ac:dyDescent="0.2">
      <c r="A40" t="s">
        <v>12</v>
      </c>
      <c r="C40">
        <v>5781.95</v>
      </c>
      <c r="D40">
        <v>5705.64</v>
      </c>
      <c r="E40">
        <v>5641.07</v>
      </c>
      <c r="F40">
        <v>5576.5</v>
      </c>
      <c r="G40">
        <v>5523.67</v>
      </c>
      <c r="H40">
        <v>5470.84</v>
      </c>
    </row>
    <row r="41" spans="1:8" x14ac:dyDescent="0.2">
      <c r="A41" t="s">
        <v>11</v>
      </c>
      <c r="C41">
        <v>3263.7200000000003</v>
      </c>
      <c r="D41">
        <v>3152.19</v>
      </c>
      <c r="E41">
        <v>3064.14</v>
      </c>
      <c r="F41">
        <v>2981.96</v>
      </c>
      <c r="G41">
        <v>2917.39</v>
      </c>
      <c r="H41">
        <v>2858.69</v>
      </c>
    </row>
    <row r="42" spans="1:8" x14ac:dyDescent="0.2">
      <c r="A42" t="s">
        <v>15</v>
      </c>
      <c r="C42">
        <v>1444.02</v>
      </c>
      <c r="D42">
        <v>1379.45</v>
      </c>
      <c r="E42">
        <v>1332.49</v>
      </c>
      <c r="F42">
        <v>1303.1400000000001</v>
      </c>
      <c r="G42">
        <v>1285.53</v>
      </c>
      <c r="H42">
        <v>1273.79</v>
      </c>
    </row>
    <row r="43" spans="1:8" x14ac:dyDescent="0.2">
      <c r="A43" t="s">
        <v>16</v>
      </c>
      <c r="C43">
        <v>5993.27</v>
      </c>
      <c r="D43">
        <v>5875.87</v>
      </c>
      <c r="E43">
        <v>5776.08</v>
      </c>
      <c r="F43">
        <v>5682.16</v>
      </c>
      <c r="G43">
        <v>5599.9800000000005</v>
      </c>
      <c r="H43">
        <v>5523.67</v>
      </c>
    </row>
    <row r="48" spans="1:8" x14ac:dyDescent="0.2">
      <c r="A48" t="s">
        <v>2</v>
      </c>
      <c r="F48" t="s">
        <v>0</v>
      </c>
    </row>
    <row r="49" spans="1:12" x14ac:dyDescent="0.2">
      <c r="B49" t="s">
        <v>4</v>
      </c>
      <c r="C49" t="s">
        <v>5</v>
      </c>
      <c r="D49" t="s">
        <v>6</v>
      </c>
      <c r="G49" t="s">
        <v>4</v>
      </c>
      <c r="H49" t="s">
        <v>5</v>
      </c>
      <c r="I49" t="s">
        <v>6</v>
      </c>
    </row>
    <row r="50" spans="1:12" x14ac:dyDescent="0.2">
      <c r="A50">
        <v>2025</v>
      </c>
      <c r="B50" s="4">
        <f>M2*1.34</f>
        <v>1323.0521518442406</v>
      </c>
      <c r="C50">
        <f t="shared" ref="C50:C55" si="5">M10</f>
        <v>1508.59</v>
      </c>
      <c r="D50">
        <f t="shared" ref="D50:D55" si="6">M19</f>
        <v>2154.29</v>
      </c>
      <c r="E50" s="8">
        <f>B50/C50-1</f>
        <v>-0.12298758983935953</v>
      </c>
      <c r="F50">
        <v>2025</v>
      </c>
      <c r="G50" s="4">
        <f t="shared" ref="G50:G55" si="7">K2</f>
        <v>1380.33787020615</v>
      </c>
      <c r="H50">
        <f t="shared" ref="H50:H55" si="8">K10</f>
        <v>1743.39</v>
      </c>
      <c r="I50">
        <f t="shared" ref="I50:I55" si="9">K19</f>
        <v>2177.77</v>
      </c>
      <c r="J50" s="8">
        <f>G50/H50-1</f>
        <v>-0.20824493073486139</v>
      </c>
    </row>
    <row r="51" spans="1:12" x14ac:dyDescent="0.2">
      <c r="A51">
        <v>2030</v>
      </c>
      <c r="B51" s="4">
        <f t="shared" ref="B51:B55" si="10">M3*1.34</f>
        <v>1043.7023517333357</v>
      </c>
      <c r="C51">
        <f t="shared" si="5"/>
        <v>1232.7</v>
      </c>
      <c r="D51">
        <f t="shared" si="6"/>
        <v>1766.8700000000001</v>
      </c>
      <c r="E51" s="8">
        <f t="shared" ref="E51:E55" si="11">B51/C51-1</f>
        <v>-0.15332006835942591</v>
      </c>
      <c r="F51">
        <v>2030</v>
      </c>
      <c r="G51" s="4">
        <f t="shared" si="7"/>
        <v>1228.30776055449</v>
      </c>
      <c r="H51">
        <f t="shared" si="8"/>
        <v>1485.1100000000001</v>
      </c>
      <c r="I51">
        <f t="shared" si="9"/>
        <v>2025.15</v>
      </c>
      <c r="J51" s="8">
        <f t="shared" ref="J51:J55" si="12">G51/H51-1</f>
        <v>-0.17291799223324211</v>
      </c>
      <c r="K51" s="8"/>
      <c r="L51" s="8"/>
    </row>
    <row r="52" spans="1:12" x14ac:dyDescent="0.2">
      <c r="A52">
        <v>2035</v>
      </c>
      <c r="B52" s="4">
        <f t="shared" si="10"/>
        <v>764.35255162243141</v>
      </c>
      <c r="C52">
        <f t="shared" si="5"/>
        <v>1074.21</v>
      </c>
      <c r="D52">
        <f t="shared" si="6"/>
        <v>1543.81</v>
      </c>
      <c r="E52" s="8">
        <f t="shared" si="11"/>
        <v>-0.28845146514887088</v>
      </c>
      <c r="F52">
        <v>2035</v>
      </c>
      <c r="G52" s="4">
        <f t="shared" si="7"/>
        <v>1159.19076643723</v>
      </c>
      <c r="H52">
        <f t="shared" si="8"/>
        <v>1326.6200000000001</v>
      </c>
      <c r="I52">
        <f t="shared" si="9"/>
        <v>1901.88</v>
      </c>
      <c r="J52" s="8">
        <f t="shared" si="12"/>
        <v>-0.126207379326989</v>
      </c>
    </row>
    <row r="53" spans="1:12" x14ac:dyDescent="0.2">
      <c r="A53">
        <v>2040</v>
      </c>
      <c r="B53" s="4">
        <f t="shared" si="10"/>
        <v>695.9935019929851</v>
      </c>
      <c r="C53">
        <f t="shared" si="5"/>
        <v>992.03</v>
      </c>
      <c r="D53">
        <f t="shared" si="6"/>
        <v>1408.8</v>
      </c>
      <c r="E53" s="8">
        <f t="shared" si="11"/>
        <v>-0.29841486447689569</v>
      </c>
      <c r="F53">
        <v>2040</v>
      </c>
      <c r="G53" s="4">
        <f t="shared" si="7"/>
        <v>1090.07377231997</v>
      </c>
      <c r="H53">
        <f t="shared" si="8"/>
        <v>1226.83</v>
      </c>
      <c r="I53">
        <f t="shared" si="9"/>
        <v>1807.96</v>
      </c>
      <c r="J53" s="8">
        <f t="shared" si="12"/>
        <v>-0.11147121253965908</v>
      </c>
    </row>
    <row r="54" spans="1:12" x14ac:dyDescent="0.2">
      <c r="A54">
        <v>2045</v>
      </c>
      <c r="B54" s="4">
        <f t="shared" si="10"/>
        <v>627.63445236353868</v>
      </c>
      <c r="C54">
        <f t="shared" si="5"/>
        <v>939.2</v>
      </c>
      <c r="D54">
        <f t="shared" si="6"/>
        <v>1326.6200000000001</v>
      </c>
      <c r="E54" s="8">
        <f t="shared" si="11"/>
        <v>-0.33173503794342141</v>
      </c>
      <c r="F54">
        <v>2045</v>
      </c>
      <c r="G54" s="4">
        <f t="shared" si="7"/>
        <v>1020.95677820272</v>
      </c>
      <c r="H54">
        <f t="shared" si="8"/>
        <v>1162.26</v>
      </c>
      <c r="I54">
        <f t="shared" si="9"/>
        <v>1731.65</v>
      </c>
      <c r="J54" s="8">
        <f t="shared" si="12"/>
        <v>-0.12157625814988038</v>
      </c>
    </row>
    <row r="55" spans="1:12" x14ac:dyDescent="0.2">
      <c r="A55">
        <v>2050</v>
      </c>
      <c r="B55" s="4">
        <f t="shared" si="10"/>
        <v>559.27540273409272</v>
      </c>
      <c r="C55">
        <f t="shared" si="5"/>
        <v>915.72</v>
      </c>
      <c r="D55">
        <f t="shared" si="6"/>
        <v>1279.6600000000001</v>
      </c>
      <c r="E55" s="8">
        <f t="shared" si="11"/>
        <v>-0.38925064131602161</v>
      </c>
      <c r="F55">
        <v>2050</v>
      </c>
      <c r="G55" s="4">
        <f t="shared" si="7"/>
        <v>951.83978408546204</v>
      </c>
      <c r="H55">
        <f t="shared" si="8"/>
        <v>1121.17</v>
      </c>
      <c r="I55">
        <f t="shared" si="9"/>
        <v>1678.82</v>
      </c>
      <c r="J55" s="8">
        <f t="shared" si="12"/>
        <v>-0.15102992045322117</v>
      </c>
    </row>
    <row r="57" spans="1:12" x14ac:dyDescent="0.2">
      <c r="A57" t="s">
        <v>3</v>
      </c>
      <c r="F57" t="s">
        <v>7</v>
      </c>
    </row>
    <row r="58" spans="1:12" x14ac:dyDescent="0.2">
      <c r="B58" t="s">
        <v>4</v>
      </c>
      <c r="C58" t="s">
        <v>5</v>
      </c>
      <c r="D58" t="s">
        <v>6</v>
      </c>
      <c r="G58" t="s">
        <v>4</v>
      </c>
      <c r="H58" t="s">
        <v>5</v>
      </c>
      <c r="I58" t="s">
        <v>6</v>
      </c>
    </row>
    <row r="59" spans="1:12" x14ac:dyDescent="0.2">
      <c r="A59">
        <v>2025</v>
      </c>
      <c r="B59" s="4">
        <f t="shared" ref="B59:B64" si="13">N2</f>
        <v>2518.9680519015233</v>
      </c>
      <c r="C59">
        <f t="shared" ref="C59:C64" si="14">N10</f>
        <v>2711.94</v>
      </c>
      <c r="D59">
        <f t="shared" ref="D59:D64" si="15">N19</f>
        <v>3375.25</v>
      </c>
      <c r="E59" s="8">
        <f>B59/C59-1</f>
        <v>-7.1156422376039585E-2</v>
      </c>
      <c r="F59">
        <v>2025</v>
      </c>
      <c r="G59" s="5">
        <f t="shared" ref="G59:G64" si="16">L2</f>
        <v>4134.9516999999996</v>
      </c>
      <c r="H59">
        <f t="shared" ref="H59:H64" si="17">L10</f>
        <v>3298.94</v>
      </c>
      <c r="I59">
        <f t="shared" ref="I59:I64" si="18">L19</f>
        <v>4819.2700000000004</v>
      </c>
      <c r="J59" s="8">
        <f>G59/H59-1</f>
        <v>0.25341827981109066</v>
      </c>
    </row>
    <row r="60" spans="1:12" x14ac:dyDescent="0.2">
      <c r="A60">
        <v>2030</v>
      </c>
      <c r="B60" s="4">
        <f t="shared" si="13"/>
        <v>2110.9266135087</v>
      </c>
      <c r="C60">
        <f t="shared" si="14"/>
        <v>2007.54</v>
      </c>
      <c r="D60">
        <f t="shared" si="15"/>
        <v>2723.68</v>
      </c>
      <c r="E60" s="8">
        <f t="shared" ref="E60:E64" si="19">B60/C60-1</f>
        <v>5.1499154940225278E-2</v>
      </c>
      <c r="F60">
        <v>2030</v>
      </c>
      <c r="G60" s="5">
        <f t="shared" si="16"/>
        <v>3130.94</v>
      </c>
      <c r="H60">
        <f t="shared" si="17"/>
        <v>2864.56</v>
      </c>
      <c r="I60">
        <f t="shared" si="18"/>
        <v>4232.2700000000004</v>
      </c>
      <c r="J60" s="8">
        <f t="shared" ref="J60:J64" si="20">G60/H60-1</f>
        <v>9.2991593822437046E-2</v>
      </c>
    </row>
    <row r="61" spans="1:12" x14ac:dyDescent="0.2">
      <c r="A61">
        <v>2035</v>
      </c>
      <c r="B61" s="4">
        <f t="shared" si="13"/>
        <v>1702.8851751158791</v>
      </c>
      <c r="C61">
        <f t="shared" si="14"/>
        <v>1631.8600000000001</v>
      </c>
      <c r="D61">
        <f t="shared" si="15"/>
        <v>2336.2600000000002</v>
      </c>
      <c r="E61" s="8">
        <f t="shared" si="19"/>
        <v>4.3524061571384109E-2</v>
      </c>
      <c r="F61">
        <v>2035</v>
      </c>
      <c r="G61" s="5">
        <f t="shared" si="16"/>
        <v>2416.9985999999999</v>
      </c>
      <c r="H61">
        <f t="shared" si="17"/>
        <v>2588.67</v>
      </c>
      <c r="I61">
        <f t="shared" si="18"/>
        <v>3780.28</v>
      </c>
      <c r="J61" s="8">
        <f t="shared" si="20"/>
        <v>-6.631644821472038E-2</v>
      </c>
    </row>
    <row r="62" spans="1:12" x14ac:dyDescent="0.2">
      <c r="A62">
        <v>2040</v>
      </c>
      <c r="B62" s="4">
        <f t="shared" si="13"/>
        <v>1537.9479247046979</v>
      </c>
      <c r="C62">
        <f t="shared" si="14"/>
        <v>1438.15</v>
      </c>
      <c r="D62">
        <f t="shared" si="15"/>
        <v>2107.33</v>
      </c>
      <c r="E62" s="8">
        <f t="shared" si="19"/>
        <v>6.9393265448456587E-2</v>
      </c>
      <c r="F62">
        <v>2040</v>
      </c>
      <c r="G62" s="5">
        <f t="shared" si="16"/>
        <v>2325.8847999999998</v>
      </c>
      <c r="H62">
        <f t="shared" si="17"/>
        <v>2412.5700000000002</v>
      </c>
      <c r="I62">
        <f t="shared" si="18"/>
        <v>3428.08</v>
      </c>
      <c r="J62" s="8">
        <f t="shared" si="20"/>
        <v>-3.5930646571913027E-2</v>
      </c>
    </row>
    <row r="63" spans="1:12" x14ac:dyDescent="0.2">
      <c r="A63">
        <v>2045</v>
      </c>
      <c r="B63" s="4">
        <f t="shared" si="13"/>
        <v>1373.0106742935166</v>
      </c>
      <c r="C63">
        <f t="shared" si="14"/>
        <v>1332.49</v>
      </c>
      <c r="D63">
        <f t="shared" si="15"/>
        <v>1972.32</v>
      </c>
      <c r="E63" s="8">
        <f t="shared" si="19"/>
        <v>3.0409739880611797E-2</v>
      </c>
      <c r="F63">
        <v>2045</v>
      </c>
      <c r="G63" s="5">
        <f t="shared" si="16"/>
        <v>2257.6610999999998</v>
      </c>
      <c r="H63">
        <f t="shared" si="17"/>
        <v>2301.04</v>
      </c>
      <c r="I63">
        <f t="shared" si="18"/>
        <v>3158.06</v>
      </c>
      <c r="J63" s="8">
        <f t="shared" si="20"/>
        <v>-1.8851866981886567E-2</v>
      </c>
    </row>
    <row r="64" spans="1:12" x14ac:dyDescent="0.2">
      <c r="A64">
        <v>2050</v>
      </c>
      <c r="B64" s="4">
        <f t="shared" si="13"/>
        <v>1208.0734238823359</v>
      </c>
      <c r="C64">
        <f t="shared" si="14"/>
        <v>1279.6600000000001</v>
      </c>
      <c r="D64">
        <f t="shared" si="15"/>
        <v>1896.01</v>
      </c>
      <c r="E64" s="8">
        <f t="shared" si="19"/>
        <v>-5.5941872151715422E-2</v>
      </c>
      <c r="F64">
        <v>2050</v>
      </c>
      <c r="G64" s="5">
        <f t="shared" si="16"/>
        <v>2203.4452000000001</v>
      </c>
      <c r="H64">
        <f t="shared" si="17"/>
        <v>2224.73</v>
      </c>
      <c r="I64">
        <f t="shared" si="18"/>
        <v>2946.7400000000002</v>
      </c>
      <c r="J64" s="8">
        <f t="shared" si="20"/>
        <v>-9.5673632305942613E-3</v>
      </c>
    </row>
    <row r="66" spans="1:10" x14ac:dyDescent="0.2">
      <c r="A66" t="s">
        <v>12</v>
      </c>
      <c r="F66" t="s">
        <v>17</v>
      </c>
    </row>
    <row r="67" spans="1:10" x14ac:dyDescent="0.2">
      <c r="B67" t="s">
        <v>4</v>
      </c>
      <c r="C67" t="s">
        <v>5</v>
      </c>
      <c r="D67" t="s">
        <v>6</v>
      </c>
      <c r="G67" t="s">
        <v>4</v>
      </c>
      <c r="H67" t="s">
        <v>5</v>
      </c>
      <c r="I67" t="s">
        <v>6</v>
      </c>
    </row>
    <row r="68" spans="1:10" x14ac:dyDescent="0.2">
      <c r="A68">
        <v>2025</v>
      </c>
      <c r="B68" s="4">
        <f t="shared" ref="B68:B73" si="21">P2</f>
        <v>3148.7</v>
      </c>
      <c r="C68">
        <f t="shared" ref="C68:C73" si="22">P10</f>
        <v>3645.27</v>
      </c>
      <c r="D68">
        <f t="shared" ref="D68:D73" si="23">P19</f>
        <v>5781.95</v>
      </c>
      <c r="E68" s="8">
        <f>B68/C68-1</f>
        <v>-0.13622310555871042</v>
      </c>
      <c r="F68">
        <v>2025</v>
      </c>
      <c r="G68" s="4">
        <f t="shared" ref="G68:G73" si="24">O2</f>
        <v>5124.8</v>
      </c>
      <c r="H68">
        <f t="shared" ref="H68:H73" si="25">O10</f>
        <v>6415.91</v>
      </c>
      <c r="I68">
        <f t="shared" ref="I68:I73" si="26">O19</f>
        <v>8857.83</v>
      </c>
      <c r="J68" s="8">
        <f>G68/H68-1</f>
        <v>-0.20123567818127119</v>
      </c>
    </row>
    <row r="69" spans="1:10" x14ac:dyDescent="0.2">
      <c r="A69">
        <v>2030</v>
      </c>
      <c r="B69" s="4">
        <f t="shared" si="21"/>
        <v>3061.2</v>
      </c>
      <c r="C69">
        <f t="shared" si="22"/>
        <v>3410.4700000000003</v>
      </c>
      <c r="D69">
        <f t="shared" si="23"/>
        <v>5705.64</v>
      </c>
      <c r="E69" s="8">
        <f t="shared" ref="E69:E73" si="27">B69/C69-1</f>
        <v>-0.102411104627808</v>
      </c>
      <c r="F69">
        <v>2030</v>
      </c>
      <c r="G69" s="4">
        <f t="shared" si="24"/>
        <v>4811.8999999999996</v>
      </c>
      <c r="H69">
        <f t="shared" si="25"/>
        <v>5846.52</v>
      </c>
      <c r="I69">
        <f t="shared" si="26"/>
        <v>8734.56</v>
      </c>
      <c r="J69" s="8">
        <f t="shared" ref="J69:J73" si="28">G69/H69-1</f>
        <v>-0.17696339018766727</v>
      </c>
    </row>
    <row r="70" spans="1:10" x14ac:dyDescent="0.2">
      <c r="A70">
        <v>2035</v>
      </c>
      <c r="B70" s="4">
        <f t="shared" si="21"/>
        <v>2973.7</v>
      </c>
      <c r="C70">
        <f t="shared" si="22"/>
        <v>3228.5</v>
      </c>
      <c r="D70">
        <f t="shared" si="23"/>
        <v>5641.07</v>
      </c>
      <c r="E70" s="8">
        <f t="shared" si="27"/>
        <v>-7.8922100046461274E-2</v>
      </c>
      <c r="F70">
        <v>2035</v>
      </c>
      <c r="G70" s="4">
        <f t="shared" si="24"/>
        <v>4499</v>
      </c>
      <c r="H70">
        <f t="shared" si="25"/>
        <v>5388.66</v>
      </c>
      <c r="I70">
        <f t="shared" si="26"/>
        <v>8617.16</v>
      </c>
      <c r="J70" s="8">
        <f t="shared" si="28"/>
        <v>-0.16509855882538516</v>
      </c>
    </row>
    <row r="71" spans="1:10" x14ac:dyDescent="0.2">
      <c r="A71">
        <v>2040</v>
      </c>
      <c r="B71" s="4">
        <f t="shared" si="21"/>
        <v>2830.9</v>
      </c>
      <c r="C71">
        <f t="shared" si="22"/>
        <v>3087.62</v>
      </c>
      <c r="D71">
        <f t="shared" si="23"/>
        <v>5576.5</v>
      </c>
      <c r="E71" s="8">
        <f t="shared" si="27"/>
        <v>-8.3144946593168734E-2</v>
      </c>
      <c r="F71">
        <v>2040</v>
      </c>
      <c r="G71" s="4">
        <f t="shared" si="24"/>
        <v>4253.3999999999996</v>
      </c>
      <c r="H71">
        <f t="shared" si="25"/>
        <v>5007.1099999999997</v>
      </c>
      <c r="I71">
        <f t="shared" si="26"/>
        <v>8511.5</v>
      </c>
      <c r="J71" s="8">
        <f t="shared" si="28"/>
        <v>-0.15052794925615776</v>
      </c>
    </row>
    <row r="72" spans="1:10" x14ac:dyDescent="0.2">
      <c r="A72">
        <v>2045</v>
      </c>
      <c r="B72" s="4">
        <f t="shared" si="21"/>
        <v>2688.1</v>
      </c>
      <c r="C72">
        <f t="shared" si="22"/>
        <v>2976.09</v>
      </c>
      <c r="D72">
        <f t="shared" si="23"/>
        <v>5523.67</v>
      </c>
      <c r="E72" s="8">
        <f t="shared" si="27"/>
        <v>-9.6767906884536514E-2</v>
      </c>
      <c r="F72">
        <v>2045</v>
      </c>
      <c r="G72" s="4">
        <f t="shared" si="24"/>
        <v>4007.8</v>
      </c>
      <c r="H72">
        <f t="shared" si="25"/>
        <v>4701.87</v>
      </c>
      <c r="I72">
        <f t="shared" si="26"/>
        <v>8405.84</v>
      </c>
      <c r="J72" s="8">
        <f t="shared" si="28"/>
        <v>-0.14761573586679333</v>
      </c>
    </row>
    <row r="73" spans="1:10" x14ac:dyDescent="0.2">
      <c r="A73">
        <v>2050</v>
      </c>
      <c r="B73" s="4">
        <f t="shared" si="21"/>
        <v>2545.4</v>
      </c>
      <c r="C73">
        <f t="shared" si="22"/>
        <v>2893.91</v>
      </c>
      <c r="D73">
        <f t="shared" si="23"/>
        <v>5470.84</v>
      </c>
      <c r="E73" s="8">
        <f t="shared" si="27"/>
        <v>-0.12042876247015277</v>
      </c>
      <c r="F73">
        <v>2050</v>
      </c>
      <c r="G73" s="4">
        <f t="shared" si="24"/>
        <v>3762.1</v>
      </c>
      <c r="H73">
        <f t="shared" si="25"/>
        <v>4449.46</v>
      </c>
      <c r="I73">
        <f t="shared" si="26"/>
        <v>8306.0499999999993</v>
      </c>
      <c r="J73" s="8">
        <f t="shared" si="28"/>
        <v>-0.15448166743829594</v>
      </c>
    </row>
    <row r="76" spans="1:10" x14ac:dyDescent="0.2">
      <c r="A76" t="s">
        <v>13</v>
      </c>
      <c r="F76" t="s">
        <v>18</v>
      </c>
    </row>
    <row r="77" spans="1:10" x14ac:dyDescent="0.2">
      <c r="B77" t="s">
        <v>4</v>
      </c>
      <c r="C77" t="s">
        <v>5</v>
      </c>
      <c r="D77" t="s">
        <v>6</v>
      </c>
      <c r="G77" t="s">
        <v>4</v>
      </c>
      <c r="H77" t="s">
        <v>5</v>
      </c>
      <c r="I77" t="s">
        <v>6</v>
      </c>
    </row>
    <row r="78" spans="1:10" x14ac:dyDescent="0.2">
      <c r="A78">
        <v>2025</v>
      </c>
      <c r="B78" s="4">
        <f t="shared" ref="B78:B83" si="29">R2</f>
        <v>1213.0999999999999</v>
      </c>
      <c r="C78">
        <f t="shared" ref="C78:C83" si="30">R10</f>
        <v>1361.84</v>
      </c>
      <c r="D78">
        <f t="shared" ref="D78:D83" si="31">R19</f>
        <v>1444.02</v>
      </c>
      <c r="E78" s="8">
        <f>B78/C78-1</f>
        <v>-0.10921987898725261</v>
      </c>
      <c r="F78">
        <v>2025</v>
      </c>
      <c r="G78" s="4">
        <f t="shared" ref="G78:G83" si="32">Q2</f>
        <v>2504.5</v>
      </c>
      <c r="H78">
        <f t="shared" ref="H78:H83" si="33">Q10</f>
        <v>3169.8</v>
      </c>
      <c r="I78">
        <f t="shared" ref="I78:I83" si="34">Q19</f>
        <v>3263.7200000000003</v>
      </c>
      <c r="J78" s="8">
        <f>G78/H78-1</f>
        <v>-0.20988705912044925</v>
      </c>
    </row>
    <row r="79" spans="1:10" x14ac:dyDescent="0.2">
      <c r="A79">
        <v>2030</v>
      </c>
      <c r="B79" s="4">
        <f t="shared" si="29"/>
        <v>1159.3</v>
      </c>
      <c r="C79">
        <f t="shared" si="30"/>
        <v>1297.27</v>
      </c>
      <c r="D79">
        <f t="shared" si="31"/>
        <v>1379.45</v>
      </c>
      <c r="E79" s="8">
        <f t="shared" ref="E79:E83" si="35">B79/C79-1</f>
        <v>-0.10635411286779162</v>
      </c>
      <c r="F79">
        <v>2030</v>
      </c>
      <c r="G79" s="4">
        <f t="shared" si="32"/>
        <v>2250.9</v>
      </c>
      <c r="H79">
        <f t="shared" si="33"/>
        <v>2811.73</v>
      </c>
      <c r="I79">
        <f t="shared" si="34"/>
        <v>3152.19</v>
      </c>
      <c r="J79" s="8">
        <f t="shared" ref="J79:J83" si="36">G79/H79-1</f>
        <v>-0.19946083016505844</v>
      </c>
    </row>
    <row r="80" spans="1:10" x14ac:dyDescent="0.2">
      <c r="A80">
        <v>2035</v>
      </c>
      <c r="B80" s="4">
        <f t="shared" si="29"/>
        <v>1105.5</v>
      </c>
      <c r="C80">
        <f t="shared" si="30"/>
        <v>1250.31</v>
      </c>
      <c r="D80">
        <f t="shared" si="31"/>
        <v>1332.49</v>
      </c>
      <c r="E80" s="8">
        <f t="shared" si="35"/>
        <v>-0.11581927681934878</v>
      </c>
      <c r="F80">
        <v>2035</v>
      </c>
      <c r="G80" s="4">
        <f t="shared" si="32"/>
        <v>1997.4</v>
      </c>
      <c r="H80">
        <f t="shared" si="33"/>
        <v>2559.3200000000002</v>
      </c>
      <c r="I80">
        <f t="shared" si="34"/>
        <v>3064.14</v>
      </c>
      <c r="J80" s="8">
        <f t="shared" si="36"/>
        <v>-0.21955832017879751</v>
      </c>
    </row>
    <row r="81" spans="1:10" x14ac:dyDescent="0.2">
      <c r="A81">
        <v>2040</v>
      </c>
      <c r="B81" s="4">
        <f t="shared" si="29"/>
        <v>1059.9000000000001</v>
      </c>
      <c r="C81">
        <f t="shared" si="30"/>
        <v>1220.96</v>
      </c>
      <c r="D81">
        <f t="shared" si="31"/>
        <v>1303.1400000000001</v>
      </c>
      <c r="E81" s="8">
        <f t="shared" si="35"/>
        <v>-0.13191259336915206</v>
      </c>
      <c r="F81">
        <v>2040</v>
      </c>
      <c r="G81" s="4">
        <f t="shared" si="32"/>
        <v>1883.3</v>
      </c>
      <c r="H81">
        <f t="shared" si="33"/>
        <v>2389.09</v>
      </c>
      <c r="I81">
        <f t="shared" si="34"/>
        <v>2981.96</v>
      </c>
      <c r="J81" s="8">
        <f t="shared" si="36"/>
        <v>-0.21170822363326625</v>
      </c>
    </row>
    <row r="82" spans="1:10" x14ac:dyDescent="0.2">
      <c r="A82">
        <v>2045</v>
      </c>
      <c r="B82" s="4">
        <f t="shared" si="29"/>
        <v>1014.4</v>
      </c>
      <c r="C82">
        <f t="shared" si="30"/>
        <v>1197.48</v>
      </c>
      <c r="D82">
        <f t="shared" si="31"/>
        <v>1285.53</v>
      </c>
      <c r="E82" s="8">
        <f t="shared" si="35"/>
        <v>-0.15288773090155994</v>
      </c>
      <c r="F82">
        <v>2045</v>
      </c>
      <c r="G82" s="4">
        <f t="shared" si="32"/>
        <v>1769.2</v>
      </c>
      <c r="H82">
        <f t="shared" si="33"/>
        <v>2265.8200000000002</v>
      </c>
      <c r="I82">
        <f t="shared" si="34"/>
        <v>2917.39</v>
      </c>
      <c r="J82" s="8">
        <f t="shared" si="36"/>
        <v>-0.21917892859980059</v>
      </c>
    </row>
    <row r="83" spans="1:10" x14ac:dyDescent="0.2">
      <c r="A83">
        <v>2050</v>
      </c>
      <c r="B83" s="4">
        <f t="shared" si="29"/>
        <v>968.9</v>
      </c>
      <c r="C83">
        <f t="shared" si="30"/>
        <v>1185.74</v>
      </c>
      <c r="D83">
        <f t="shared" si="31"/>
        <v>1273.79</v>
      </c>
      <c r="E83" s="8">
        <f t="shared" si="35"/>
        <v>-0.1828731425101624</v>
      </c>
      <c r="F83">
        <v>2050</v>
      </c>
      <c r="G83" s="4">
        <f t="shared" si="32"/>
        <v>1655.1</v>
      </c>
      <c r="H83">
        <f t="shared" si="33"/>
        <v>2183.64</v>
      </c>
      <c r="I83">
        <f t="shared" si="34"/>
        <v>2858.69</v>
      </c>
      <c r="J83" s="8">
        <f t="shared" si="36"/>
        <v>-0.24204539209759846</v>
      </c>
    </row>
    <row r="85" spans="1:10" x14ac:dyDescent="0.2">
      <c r="A85" t="s">
        <v>16</v>
      </c>
    </row>
    <row r="86" spans="1:10" x14ac:dyDescent="0.2">
      <c r="B86" t="s">
        <v>4</v>
      </c>
      <c r="C86" t="s">
        <v>5</v>
      </c>
      <c r="D86" t="s">
        <v>6</v>
      </c>
    </row>
    <row r="87" spans="1:10" x14ac:dyDescent="0.2">
      <c r="A87">
        <v>2025</v>
      </c>
      <c r="B87" s="4">
        <f t="shared" ref="B87:B92" si="37">S2</f>
        <v>4363.9900114313505</v>
      </c>
      <c r="C87">
        <f t="shared" ref="C87:C92" si="38">S10</f>
        <v>6081.32</v>
      </c>
      <c r="D87">
        <f t="shared" ref="D87:D92" si="39">S19</f>
        <v>5993.27</v>
      </c>
      <c r="E87" s="8">
        <f>B87/C87-1</f>
        <v>-0.28239428094042895</v>
      </c>
    </row>
    <row r="88" spans="1:10" x14ac:dyDescent="0.2">
      <c r="A88">
        <v>2030</v>
      </c>
      <c r="B88" s="4">
        <f t="shared" si="37"/>
        <v>4160.9495215525276</v>
      </c>
      <c r="C88">
        <f t="shared" si="38"/>
        <v>5905.22</v>
      </c>
      <c r="D88">
        <f t="shared" si="39"/>
        <v>5875.87</v>
      </c>
      <c r="E88" s="8">
        <f t="shared" ref="E88:E92" si="40">B88/C88-1</f>
        <v>-0.29537772994866784</v>
      </c>
    </row>
    <row r="89" spans="1:10" x14ac:dyDescent="0.2">
      <c r="A89">
        <v>2035</v>
      </c>
      <c r="B89" s="4">
        <f t="shared" si="37"/>
        <v>4022.2687860909209</v>
      </c>
      <c r="C89">
        <f t="shared" si="38"/>
        <v>5752.6</v>
      </c>
      <c r="D89">
        <f t="shared" si="39"/>
        <v>5776.08</v>
      </c>
      <c r="E89" s="8">
        <f t="shared" si="40"/>
        <v>-0.30079115772156584</v>
      </c>
    </row>
    <row r="90" spans="1:10" x14ac:dyDescent="0.2">
      <c r="A90">
        <v>2040</v>
      </c>
      <c r="B90" s="4">
        <f t="shared" si="37"/>
        <v>3880.1811443616116</v>
      </c>
      <c r="C90">
        <f t="shared" si="38"/>
        <v>5605.85</v>
      </c>
      <c r="D90">
        <f t="shared" si="39"/>
        <v>5682.16</v>
      </c>
      <c r="E90" s="8">
        <f t="shared" si="40"/>
        <v>-0.3078335766455379</v>
      </c>
    </row>
    <row r="91" spans="1:10" x14ac:dyDescent="0.2">
      <c r="A91">
        <v>2045</v>
      </c>
      <c r="B91" s="4">
        <f t="shared" si="37"/>
        <v>3746.7915223673631</v>
      </c>
      <c r="C91">
        <f t="shared" si="38"/>
        <v>5476.71</v>
      </c>
      <c r="D91">
        <f t="shared" si="39"/>
        <v>5599.9800000000005</v>
      </c>
      <c r="E91" s="8">
        <f t="shared" si="40"/>
        <v>-0.31586819050719084</v>
      </c>
    </row>
    <row r="92" spans="1:10" x14ac:dyDescent="0.2">
      <c r="A92">
        <v>2050</v>
      </c>
      <c r="B92" s="4">
        <f t="shared" si="37"/>
        <v>3587.8684638205809</v>
      </c>
      <c r="C92">
        <f t="shared" si="38"/>
        <v>5365.18</v>
      </c>
      <c r="D92">
        <f t="shared" si="39"/>
        <v>5523.67</v>
      </c>
      <c r="E92" s="8">
        <f t="shared" si="40"/>
        <v>-0.33126783000373128</v>
      </c>
    </row>
    <row r="97" spans="1:4" x14ac:dyDescent="0.2">
      <c r="A97" t="s">
        <v>19</v>
      </c>
    </row>
    <row r="98" spans="1:4" x14ac:dyDescent="0.2">
      <c r="B98" t="s">
        <v>4</v>
      </c>
      <c r="C98" t="s">
        <v>5</v>
      </c>
      <c r="D98" t="s">
        <v>6</v>
      </c>
    </row>
    <row r="99" spans="1:4" x14ac:dyDescent="0.2">
      <c r="A99">
        <v>2025</v>
      </c>
    </row>
    <row r="100" spans="1:4" x14ac:dyDescent="0.2">
      <c r="A100">
        <v>2030</v>
      </c>
    </row>
    <row r="101" spans="1:4" x14ac:dyDescent="0.2">
      <c r="A101">
        <v>2035</v>
      </c>
    </row>
    <row r="102" spans="1:4" x14ac:dyDescent="0.2">
      <c r="A102">
        <v>2040</v>
      </c>
    </row>
    <row r="103" spans="1:4" x14ac:dyDescent="0.2">
      <c r="A103">
        <v>2045</v>
      </c>
    </row>
    <row r="104" spans="1:4" x14ac:dyDescent="0.2">
      <c r="A104">
        <v>2050</v>
      </c>
    </row>
    <row r="112" spans="1:4" x14ac:dyDescent="0.2">
      <c r="B112" t="s">
        <v>9</v>
      </c>
      <c r="C112" t="s">
        <v>20</v>
      </c>
    </row>
    <row r="113" spans="1:4" x14ac:dyDescent="0.2">
      <c r="A113">
        <v>2020</v>
      </c>
      <c r="B113" s="9">
        <f>27259.54*1.61</f>
        <v>43887.859400000001</v>
      </c>
      <c r="C113">
        <v>54190</v>
      </c>
    </row>
    <row r="114" spans="1:4" ht="18" x14ac:dyDescent="0.2">
      <c r="A114">
        <v>2025</v>
      </c>
      <c r="B114" s="9">
        <f>24129.96*1.61</f>
        <v>38849.2356</v>
      </c>
      <c r="C114">
        <v>46880</v>
      </c>
      <c r="D114" s="10"/>
    </row>
    <row r="115" spans="1:4" x14ac:dyDescent="0.2">
      <c r="B115" s="9"/>
    </row>
    <row r="116" spans="1:4" x14ac:dyDescent="0.2">
      <c r="B116" t="s">
        <v>9</v>
      </c>
      <c r="C116" t="s">
        <v>21</v>
      </c>
    </row>
    <row r="117" spans="1:4" ht="18" x14ac:dyDescent="0.2">
      <c r="A117">
        <v>2020</v>
      </c>
      <c r="B117" s="9">
        <f>42770.78*1.62</f>
        <v>69288.6636</v>
      </c>
      <c r="C117" s="10">
        <v>81190</v>
      </c>
    </row>
    <row r="118" spans="1:4" ht="18" x14ac:dyDescent="0.2">
      <c r="A118">
        <v>2025</v>
      </c>
      <c r="B118" s="9">
        <f>38253.77*1.62</f>
        <v>61971.107400000001</v>
      </c>
      <c r="C118" s="10">
        <v>81880</v>
      </c>
    </row>
    <row r="121" spans="1:4" x14ac:dyDescent="0.2">
      <c r="A121" t="s">
        <v>73</v>
      </c>
      <c r="B121">
        <v>2020</v>
      </c>
      <c r="C121" s="9">
        <v>27259.54</v>
      </c>
      <c r="D121">
        <f>C121*1.61</f>
        <v>43887.859400000001</v>
      </c>
    </row>
    <row r="122" spans="1:4" x14ac:dyDescent="0.2">
      <c r="A122" t="s">
        <v>73</v>
      </c>
      <c r="B122">
        <v>2025</v>
      </c>
      <c r="C122" s="9">
        <v>24129.96</v>
      </c>
      <c r="D122">
        <f t="shared" ref="D122:D127" si="41">C122*1.61</f>
        <v>38849.2356</v>
      </c>
    </row>
    <row r="123" spans="1:4" x14ac:dyDescent="0.2">
      <c r="A123" t="s">
        <v>73</v>
      </c>
      <c r="B123">
        <v>2030</v>
      </c>
      <c r="C123" s="9">
        <v>21000.37</v>
      </c>
      <c r="D123">
        <f t="shared" si="41"/>
        <v>33810.595699999998</v>
      </c>
    </row>
    <row r="124" spans="1:4" x14ac:dyDescent="0.2">
      <c r="A124" t="s">
        <v>73</v>
      </c>
      <c r="B124">
        <v>2035</v>
      </c>
      <c r="C124" s="9">
        <v>21000.37</v>
      </c>
      <c r="D124">
        <f t="shared" si="41"/>
        <v>33810.595699999998</v>
      </c>
    </row>
    <row r="125" spans="1:4" x14ac:dyDescent="0.2">
      <c r="A125" t="s">
        <v>73</v>
      </c>
      <c r="B125">
        <v>2040</v>
      </c>
      <c r="C125" s="9">
        <v>21000.37</v>
      </c>
      <c r="D125">
        <f t="shared" si="41"/>
        <v>33810.595699999998</v>
      </c>
    </row>
    <row r="126" spans="1:4" x14ac:dyDescent="0.2">
      <c r="A126" t="s">
        <v>73</v>
      </c>
      <c r="B126">
        <v>2045</v>
      </c>
      <c r="C126" s="9">
        <v>21000.37</v>
      </c>
      <c r="D126">
        <f t="shared" si="41"/>
        <v>33810.595699999998</v>
      </c>
    </row>
    <row r="127" spans="1:4" x14ac:dyDescent="0.2">
      <c r="A127" t="s">
        <v>73</v>
      </c>
      <c r="B127">
        <v>2050</v>
      </c>
      <c r="C127" s="9">
        <v>21000.37</v>
      </c>
      <c r="D127">
        <f t="shared" si="41"/>
        <v>33810.595699999998</v>
      </c>
    </row>
    <row r="130" spans="1:4" x14ac:dyDescent="0.2">
      <c r="A130" t="s">
        <v>74</v>
      </c>
      <c r="B130">
        <v>2020</v>
      </c>
      <c r="C130" s="9">
        <v>18859.93</v>
      </c>
      <c r="D130">
        <f>C130*1.61</f>
        <v>30364.487300000001</v>
      </c>
    </row>
    <row r="131" spans="1:4" x14ac:dyDescent="0.2">
      <c r="A131" t="s">
        <v>74</v>
      </c>
      <c r="B131">
        <v>2025</v>
      </c>
      <c r="C131" s="9">
        <v>18859.93</v>
      </c>
      <c r="D131">
        <f t="shared" ref="D131:D136" si="42">C131*1.61</f>
        <v>30364.487300000001</v>
      </c>
    </row>
    <row r="132" spans="1:4" x14ac:dyDescent="0.2">
      <c r="A132" t="s">
        <v>74</v>
      </c>
      <c r="B132">
        <v>2030</v>
      </c>
      <c r="C132" s="9">
        <v>18859.93</v>
      </c>
      <c r="D132">
        <f t="shared" si="42"/>
        <v>30364.487300000001</v>
      </c>
    </row>
    <row r="133" spans="1:4" x14ac:dyDescent="0.2">
      <c r="A133" t="s">
        <v>74</v>
      </c>
      <c r="B133">
        <v>2035</v>
      </c>
      <c r="C133" s="9">
        <v>18859.93</v>
      </c>
      <c r="D133">
        <f t="shared" si="42"/>
        <v>30364.487300000001</v>
      </c>
    </row>
    <row r="134" spans="1:4" x14ac:dyDescent="0.2">
      <c r="A134" t="s">
        <v>74</v>
      </c>
      <c r="B134">
        <v>2040</v>
      </c>
      <c r="C134" s="9">
        <v>18859.93</v>
      </c>
      <c r="D134">
        <f t="shared" si="42"/>
        <v>30364.487300000001</v>
      </c>
    </row>
    <row r="135" spans="1:4" x14ac:dyDescent="0.2">
      <c r="A135" t="s">
        <v>74</v>
      </c>
      <c r="B135">
        <v>2045</v>
      </c>
      <c r="C135" s="9">
        <v>18859.93</v>
      </c>
      <c r="D135">
        <f t="shared" si="42"/>
        <v>30364.487300000001</v>
      </c>
    </row>
    <row r="136" spans="1:4" x14ac:dyDescent="0.2">
      <c r="A136" t="s">
        <v>74</v>
      </c>
      <c r="B136">
        <v>2050</v>
      </c>
      <c r="C136" s="9">
        <v>18859.93</v>
      </c>
      <c r="D136">
        <f t="shared" si="42"/>
        <v>30364.487300000001</v>
      </c>
    </row>
    <row r="139" spans="1:4" x14ac:dyDescent="0.2">
      <c r="A139" t="s">
        <v>76</v>
      </c>
      <c r="B139">
        <v>2020</v>
      </c>
      <c r="C139" s="9">
        <v>21488.89</v>
      </c>
      <c r="D139">
        <f>C139*1.61</f>
        <v>34597.1129</v>
      </c>
    </row>
    <row r="140" spans="1:4" x14ac:dyDescent="0.2">
      <c r="A140" t="s">
        <v>76</v>
      </c>
      <c r="B140">
        <v>2025</v>
      </c>
      <c r="C140" s="9">
        <v>21488.89</v>
      </c>
      <c r="D140">
        <f t="shared" ref="D140:D145" si="43">C140*1.61</f>
        <v>34597.1129</v>
      </c>
    </row>
    <row r="141" spans="1:4" x14ac:dyDescent="0.2">
      <c r="A141" t="s">
        <v>76</v>
      </c>
      <c r="B141">
        <v>2030</v>
      </c>
      <c r="C141" s="9">
        <v>21488.89</v>
      </c>
      <c r="D141">
        <f t="shared" si="43"/>
        <v>34597.1129</v>
      </c>
    </row>
    <row r="142" spans="1:4" x14ac:dyDescent="0.2">
      <c r="A142" t="s">
        <v>76</v>
      </c>
      <c r="B142">
        <v>2035</v>
      </c>
      <c r="C142" s="9">
        <v>21488.89</v>
      </c>
      <c r="D142">
        <f t="shared" si="43"/>
        <v>34597.1129</v>
      </c>
    </row>
    <row r="143" spans="1:4" x14ac:dyDescent="0.2">
      <c r="A143" t="s">
        <v>76</v>
      </c>
      <c r="B143">
        <v>2040</v>
      </c>
      <c r="C143" s="9">
        <v>21488.89</v>
      </c>
      <c r="D143">
        <f t="shared" si="43"/>
        <v>34597.1129</v>
      </c>
    </row>
    <row r="144" spans="1:4" x14ac:dyDescent="0.2">
      <c r="A144" t="s">
        <v>76</v>
      </c>
      <c r="B144">
        <v>2045</v>
      </c>
      <c r="C144" s="9">
        <v>21488.89</v>
      </c>
      <c r="D144">
        <f t="shared" si="43"/>
        <v>34597.1129</v>
      </c>
    </row>
    <row r="145" spans="1:4" x14ac:dyDescent="0.2">
      <c r="A145" t="s">
        <v>76</v>
      </c>
      <c r="B145">
        <v>2050</v>
      </c>
      <c r="C145" s="9">
        <v>21488.89</v>
      </c>
      <c r="D145">
        <f t="shared" si="43"/>
        <v>34597.1129</v>
      </c>
    </row>
    <row r="146" spans="1:4" x14ac:dyDescent="0.2">
      <c r="B146" s="9"/>
    </row>
    <row r="147" spans="1:4" x14ac:dyDescent="0.2">
      <c r="A147" s="9" t="s">
        <v>75</v>
      </c>
      <c r="B147" s="9">
        <v>2020</v>
      </c>
      <c r="C147" s="9">
        <v>40783.61</v>
      </c>
      <c r="D147">
        <f>C147*1.61</f>
        <v>65661.612099999998</v>
      </c>
    </row>
    <row r="148" spans="1:4" x14ac:dyDescent="0.2">
      <c r="A148" s="9" t="s">
        <v>75</v>
      </c>
      <c r="B148" s="9">
        <v>2025</v>
      </c>
      <c r="C148" s="9">
        <v>33869.06</v>
      </c>
      <c r="D148">
        <f t="shared" ref="D148:D153" si="44">C148*1.61</f>
        <v>54529.186600000001</v>
      </c>
    </row>
    <row r="149" spans="1:4" x14ac:dyDescent="0.2">
      <c r="A149" s="9" t="s">
        <v>75</v>
      </c>
      <c r="B149" s="9">
        <v>2030</v>
      </c>
      <c r="C149" s="9">
        <v>26954.52</v>
      </c>
      <c r="D149">
        <f t="shared" si="44"/>
        <v>43396.777200000004</v>
      </c>
    </row>
    <row r="150" spans="1:4" x14ac:dyDescent="0.2">
      <c r="A150" s="9" t="s">
        <v>75</v>
      </c>
      <c r="B150" s="9">
        <v>2035</v>
      </c>
      <c r="C150" s="9">
        <v>26954.52</v>
      </c>
      <c r="D150">
        <f t="shared" si="44"/>
        <v>43396.777200000004</v>
      </c>
    </row>
    <row r="151" spans="1:4" x14ac:dyDescent="0.2">
      <c r="A151" s="9" t="s">
        <v>75</v>
      </c>
      <c r="B151" s="9">
        <v>2040</v>
      </c>
      <c r="C151" s="9">
        <v>26010.38</v>
      </c>
      <c r="D151">
        <f t="shared" si="44"/>
        <v>41876.711800000005</v>
      </c>
    </row>
    <row r="152" spans="1:4" x14ac:dyDescent="0.2">
      <c r="A152" s="9" t="s">
        <v>75</v>
      </c>
      <c r="B152" s="9">
        <v>2045</v>
      </c>
      <c r="C152" s="9">
        <v>25066.25</v>
      </c>
      <c r="D152">
        <f t="shared" si="44"/>
        <v>40356.662500000006</v>
      </c>
    </row>
    <row r="153" spans="1:4" x14ac:dyDescent="0.2">
      <c r="A153" s="9" t="s">
        <v>75</v>
      </c>
      <c r="B153" s="9">
        <v>2050</v>
      </c>
      <c r="C153" s="9">
        <v>24122.11</v>
      </c>
      <c r="D153">
        <f t="shared" si="44"/>
        <v>38836.597100000006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05E2-BFC7-A24A-9E2C-7740DFBB03DB}">
  <dimension ref="A1:S70"/>
  <sheetViews>
    <sheetView tabSelected="1" workbookViewId="0">
      <selection activeCell="C4" sqref="C4"/>
    </sheetView>
  </sheetViews>
  <sheetFormatPr baseColWidth="10" defaultRowHeight="16" x14ac:dyDescent="0.2"/>
  <sheetData>
    <row r="1" spans="1:19" x14ac:dyDescent="0.2">
      <c r="B1">
        <v>2020</v>
      </c>
      <c r="C1">
        <v>2025</v>
      </c>
      <c r="D1">
        <v>2030</v>
      </c>
      <c r="E1">
        <v>2035</v>
      </c>
      <c r="F1">
        <v>2040</v>
      </c>
      <c r="G1">
        <v>2045</v>
      </c>
      <c r="H1">
        <v>2050</v>
      </c>
      <c r="M1">
        <v>2020</v>
      </c>
      <c r="N1">
        <v>2025</v>
      </c>
      <c r="O1">
        <v>2030</v>
      </c>
      <c r="P1">
        <v>2035</v>
      </c>
      <c r="Q1">
        <v>2040</v>
      </c>
      <c r="R1">
        <v>2045</v>
      </c>
      <c r="S1">
        <v>2050</v>
      </c>
    </row>
    <row r="2" spans="1:19" x14ac:dyDescent="0.2">
      <c r="A2" t="s">
        <v>0</v>
      </c>
      <c r="B2">
        <f>1405*J3</f>
        <v>1714.1</v>
      </c>
      <c r="C2" s="3">
        <v>1380.33787020615</v>
      </c>
      <c r="D2" s="3">
        <v>1228.30776055449</v>
      </c>
      <c r="E2" s="3">
        <v>1159.19076643723</v>
      </c>
      <c r="F2" s="3">
        <v>1090.07377231997</v>
      </c>
      <c r="G2" s="3">
        <v>1020.95677820272</v>
      </c>
      <c r="H2" s="3">
        <v>951.83978408546204</v>
      </c>
      <c r="J2" t="s">
        <v>22</v>
      </c>
      <c r="L2" t="s">
        <v>0</v>
      </c>
      <c r="M2">
        <f>B2/5.87</f>
        <v>292.01022146507665</v>
      </c>
      <c r="N2">
        <f t="shared" ref="N2:S2" si="0">C2/5.87</f>
        <v>235.15125557174616</v>
      </c>
      <c r="O2">
        <f t="shared" si="0"/>
        <v>209.25174796498976</v>
      </c>
      <c r="P2">
        <f t="shared" si="0"/>
        <v>197.4771322721005</v>
      </c>
      <c r="Q2">
        <f t="shared" si="0"/>
        <v>185.70251657921125</v>
      </c>
      <c r="R2">
        <f t="shared" si="0"/>
        <v>173.92790088632367</v>
      </c>
      <c r="S2">
        <f t="shared" si="0"/>
        <v>162.15328519343475</v>
      </c>
    </row>
    <row r="3" spans="1:19" x14ac:dyDescent="0.2">
      <c r="A3" t="s">
        <v>1</v>
      </c>
      <c r="B3">
        <f>2481*J3</f>
        <v>3026.8199999999997</v>
      </c>
      <c r="C3" s="1">
        <v>4134.9516999999996</v>
      </c>
      <c r="D3" s="1">
        <v>3130.94</v>
      </c>
      <c r="E3" s="1">
        <v>2416.9985999999999</v>
      </c>
      <c r="F3" s="1">
        <v>2325.8847999999998</v>
      </c>
      <c r="G3" s="1">
        <v>2257.6610999999998</v>
      </c>
      <c r="H3" s="1">
        <v>2203.4452000000001</v>
      </c>
      <c r="J3">
        <v>1.22</v>
      </c>
      <c r="L3" t="s">
        <v>1</v>
      </c>
      <c r="M3">
        <f t="shared" ref="M3:M23" si="1">B3/5.87</f>
        <v>515.64224872231682</v>
      </c>
      <c r="N3">
        <f t="shared" ref="N3:N23" si="2">C3/5.87</f>
        <v>704.42107325383301</v>
      </c>
      <c r="O3">
        <f t="shared" ref="O3:O23" si="3">D3/5.87</f>
        <v>533.37989778534927</v>
      </c>
      <c r="P3">
        <f t="shared" ref="P3:P23" si="4">E3/5.87</f>
        <v>411.75444633730831</v>
      </c>
      <c r="Q3">
        <f t="shared" ref="Q3:Q23" si="5">F3/5.87</f>
        <v>396.23250425894372</v>
      </c>
      <c r="R3">
        <f t="shared" ref="R3:R23" si="6">G3/5.87</f>
        <v>384.61006814310048</v>
      </c>
      <c r="S3">
        <f t="shared" ref="S3:S23" si="7">H3/5.87</f>
        <v>375.37396933560478</v>
      </c>
    </row>
    <row r="4" spans="1:19" x14ac:dyDescent="0.2">
      <c r="A4" t="s">
        <v>2</v>
      </c>
      <c r="B4">
        <f>1303/1.34*J3</f>
        <v>1186.3134328358208</v>
      </c>
      <c r="C4" s="1">
        <v>987.35235212256759</v>
      </c>
      <c r="D4" s="1">
        <v>778.88235203980275</v>
      </c>
      <c r="E4" s="1">
        <v>570.41235195703837</v>
      </c>
      <c r="F4" s="1">
        <v>519.39813581566045</v>
      </c>
      <c r="G4" s="1">
        <v>468.38391967428259</v>
      </c>
      <c r="H4" s="1">
        <v>417.36970353290496</v>
      </c>
      <c r="L4" t="s">
        <v>2</v>
      </c>
      <c r="M4">
        <f>B4/5.87</f>
        <v>202.0976887284192</v>
      </c>
      <c r="N4">
        <f t="shared" si="2"/>
        <v>168.20312642633178</v>
      </c>
      <c r="O4">
        <f t="shared" si="3"/>
        <v>132.68864600337355</v>
      </c>
      <c r="P4">
        <f t="shared" si="4"/>
        <v>97.174165580415391</v>
      </c>
      <c r="Q4">
        <f t="shared" si="5"/>
        <v>88.483498435376561</v>
      </c>
      <c r="R4">
        <f t="shared" si="6"/>
        <v>79.792831290337745</v>
      </c>
      <c r="S4">
        <f t="shared" si="7"/>
        <v>71.102164145298971</v>
      </c>
    </row>
    <row r="5" spans="1:19" x14ac:dyDescent="0.2">
      <c r="A5" t="s">
        <v>3</v>
      </c>
      <c r="B5">
        <f>2743*J3</f>
        <v>3346.46</v>
      </c>
      <c r="C5" s="2">
        <v>2518.9680519015233</v>
      </c>
      <c r="D5" s="2">
        <v>2110.9266135087</v>
      </c>
      <c r="E5" s="2">
        <v>1702.8851751158791</v>
      </c>
      <c r="F5" s="2">
        <v>1537.9479247046979</v>
      </c>
      <c r="G5" s="2">
        <v>1373.0106742935166</v>
      </c>
      <c r="H5" s="2">
        <v>1208.0734238823359</v>
      </c>
      <c r="L5" t="s">
        <v>3</v>
      </c>
      <c r="M5">
        <f t="shared" si="1"/>
        <v>570.09540034071551</v>
      </c>
      <c r="N5">
        <f t="shared" si="2"/>
        <v>429.12573286226973</v>
      </c>
      <c r="O5">
        <f t="shared" si="3"/>
        <v>359.61271098955706</v>
      </c>
      <c r="P5">
        <f t="shared" si="4"/>
        <v>290.09968911684479</v>
      </c>
      <c r="Q5">
        <f t="shared" si="5"/>
        <v>262.00135003487185</v>
      </c>
      <c r="R5">
        <f t="shared" si="6"/>
        <v>233.90301095289891</v>
      </c>
      <c r="S5">
        <f t="shared" si="7"/>
        <v>205.80467187092603</v>
      </c>
    </row>
    <row r="6" spans="1:19" x14ac:dyDescent="0.2">
      <c r="A6" t="s">
        <v>30</v>
      </c>
      <c r="B6">
        <f>(1910+3566*1.3/2.4)*J3</f>
        <v>4686.7316666666666</v>
      </c>
      <c r="C6">
        <f>2126+4276*1.3/2.4</f>
        <v>4442.166666666667</v>
      </c>
      <c r="D6">
        <f>C6*D17/C17</f>
        <v>3323.5913528585047</v>
      </c>
      <c r="E6">
        <f>D6*E17/D17</f>
        <v>3204.8916616849856</v>
      </c>
      <c r="F6">
        <f>E6*F17/E17</f>
        <v>3086.1919705114665</v>
      </c>
      <c r="G6">
        <f>F6*G17/F17</f>
        <v>2967.4922793379474</v>
      </c>
      <c r="H6">
        <f>G6*H17/G17</f>
        <v>2848.7925881644328</v>
      </c>
      <c r="L6" t="s">
        <v>30</v>
      </c>
      <c r="M6">
        <f t="shared" si="1"/>
        <v>798.4210675752413</v>
      </c>
      <c r="N6">
        <f t="shared" si="2"/>
        <v>756.75752413401483</v>
      </c>
      <c r="O6">
        <f t="shared" si="3"/>
        <v>566.19954903892756</v>
      </c>
      <c r="P6">
        <f t="shared" si="4"/>
        <v>545.97813657325139</v>
      </c>
      <c r="Q6">
        <f t="shared" si="5"/>
        <v>525.75672410757522</v>
      </c>
      <c r="R6">
        <f t="shared" si="6"/>
        <v>505.53531164189906</v>
      </c>
      <c r="S6">
        <f t="shared" si="7"/>
        <v>485.31389917622363</v>
      </c>
    </row>
    <row r="7" spans="1:19" x14ac:dyDescent="0.2">
      <c r="A7" t="s">
        <v>14</v>
      </c>
      <c r="B7">
        <f>4628*J3</f>
        <v>5646.16</v>
      </c>
      <c r="C7" s="6">
        <v>5124.8</v>
      </c>
      <c r="D7" s="6">
        <v>4811.8999999999996</v>
      </c>
      <c r="E7" s="6">
        <v>4499</v>
      </c>
      <c r="F7" s="6">
        <v>4253.3999999999996</v>
      </c>
      <c r="G7" s="6">
        <v>4007.8</v>
      </c>
      <c r="H7" s="6">
        <v>3762.1</v>
      </c>
      <c r="L7" t="s">
        <v>14</v>
      </c>
      <c r="M7">
        <f t="shared" si="1"/>
        <v>961.86712095400333</v>
      </c>
      <c r="N7">
        <f t="shared" si="2"/>
        <v>873.04940374787054</v>
      </c>
      <c r="O7">
        <f t="shared" si="3"/>
        <v>819.74446337308336</v>
      </c>
      <c r="P7">
        <f t="shared" si="4"/>
        <v>766.43952299829641</v>
      </c>
      <c r="Q7">
        <f t="shared" si="5"/>
        <v>724.59965928449742</v>
      </c>
      <c r="R7">
        <f t="shared" si="6"/>
        <v>682.75979557069843</v>
      </c>
      <c r="S7">
        <f t="shared" si="7"/>
        <v>640.9028960817717</v>
      </c>
    </row>
    <row r="8" spans="1:19" x14ac:dyDescent="0.2">
      <c r="A8" t="s">
        <v>12</v>
      </c>
      <c r="B8">
        <f>3628*J3</f>
        <v>4426.16</v>
      </c>
      <c r="C8" s="3">
        <v>3148.7</v>
      </c>
      <c r="D8" s="3">
        <v>3061.2</v>
      </c>
      <c r="E8" s="3">
        <v>2973.7</v>
      </c>
      <c r="F8" s="3">
        <v>2830.9</v>
      </c>
      <c r="G8" s="3">
        <v>2688.1</v>
      </c>
      <c r="H8" s="3">
        <v>2545.4</v>
      </c>
      <c r="L8" t="s">
        <v>12</v>
      </c>
      <c r="M8">
        <f t="shared" si="1"/>
        <v>754.03066439522991</v>
      </c>
      <c r="N8">
        <f t="shared" si="2"/>
        <v>536.40545144804082</v>
      </c>
      <c r="O8">
        <f t="shared" si="3"/>
        <v>521.49914821124355</v>
      </c>
      <c r="P8">
        <f t="shared" si="4"/>
        <v>506.59284497444628</v>
      </c>
      <c r="Q8">
        <f t="shared" si="5"/>
        <v>482.26575809199318</v>
      </c>
      <c r="R8">
        <f t="shared" si="6"/>
        <v>457.93867120954002</v>
      </c>
      <c r="S8">
        <f t="shared" si="7"/>
        <v>433.62862010221465</v>
      </c>
    </row>
    <row r="9" spans="1:19" x14ac:dyDescent="0.2">
      <c r="A9" t="s">
        <v>23</v>
      </c>
      <c r="B9">
        <f>4449*J3</f>
        <v>5427.78</v>
      </c>
      <c r="C9" s="6">
        <v>5539.7</v>
      </c>
      <c r="D9" s="6">
        <v>5433.9</v>
      </c>
      <c r="E9" s="6">
        <v>5328.1</v>
      </c>
      <c r="F9" s="6">
        <v>5222.3</v>
      </c>
      <c r="G9" s="6">
        <v>5116.5</v>
      </c>
      <c r="H9" s="6">
        <v>5010.7</v>
      </c>
      <c r="L9" t="s">
        <v>23</v>
      </c>
      <c r="M9">
        <f t="shared" si="1"/>
        <v>924.66439522998292</v>
      </c>
      <c r="N9">
        <f t="shared" si="2"/>
        <v>943.7308347529812</v>
      </c>
      <c r="O9">
        <f t="shared" si="3"/>
        <v>925.70698466780232</v>
      </c>
      <c r="P9">
        <f t="shared" si="4"/>
        <v>907.68313458262355</v>
      </c>
      <c r="Q9">
        <f t="shared" si="5"/>
        <v>889.65928449744467</v>
      </c>
      <c r="R9">
        <f t="shared" si="6"/>
        <v>871.63543441226579</v>
      </c>
      <c r="S9">
        <f t="shared" si="7"/>
        <v>853.6115843270868</v>
      </c>
    </row>
    <row r="10" spans="1:19" x14ac:dyDescent="0.2">
      <c r="A10" t="s">
        <v>26</v>
      </c>
      <c r="B10">
        <f>B9+B7-B8</f>
        <v>6647.7799999999988</v>
      </c>
      <c r="C10" s="3">
        <v>7919.2</v>
      </c>
      <c r="D10" s="3">
        <v>7766</v>
      </c>
      <c r="E10" s="3">
        <v>7612.8</v>
      </c>
      <c r="F10" s="3">
        <v>7459.7</v>
      </c>
      <c r="G10" s="3">
        <v>7306.5</v>
      </c>
      <c r="H10" s="3">
        <v>7153.3</v>
      </c>
      <c r="L10" t="s">
        <v>26</v>
      </c>
      <c r="M10">
        <f t="shared" si="1"/>
        <v>1132.5008517887561</v>
      </c>
      <c r="N10">
        <f t="shared" si="2"/>
        <v>1349.0971039182282</v>
      </c>
      <c r="O10">
        <f t="shared" si="3"/>
        <v>1322.9982964224871</v>
      </c>
      <c r="P10">
        <f t="shared" si="4"/>
        <v>1296.8994889267462</v>
      </c>
      <c r="Q10">
        <f t="shared" si="5"/>
        <v>1270.8177172061328</v>
      </c>
      <c r="R10">
        <f t="shared" si="6"/>
        <v>1244.7189097103917</v>
      </c>
      <c r="S10">
        <f t="shared" si="7"/>
        <v>1218.6201022146508</v>
      </c>
    </row>
    <row r="11" spans="1:19" x14ac:dyDescent="0.2">
      <c r="A11" t="s">
        <v>11</v>
      </c>
      <c r="B11">
        <f>2399*J3</f>
        <v>2926.7799999999997</v>
      </c>
      <c r="C11" s="6">
        <v>2504.5</v>
      </c>
      <c r="D11" s="6">
        <v>2250.9</v>
      </c>
      <c r="E11" s="6">
        <v>1997.4</v>
      </c>
      <c r="F11" s="6">
        <v>1883.3</v>
      </c>
      <c r="G11" s="6">
        <v>1769.2</v>
      </c>
      <c r="H11" s="6">
        <v>1655.1</v>
      </c>
      <c r="L11" t="s">
        <v>11</v>
      </c>
      <c r="M11">
        <f t="shared" si="1"/>
        <v>498.59965928449742</v>
      </c>
      <c r="N11">
        <f t="shared" si="2"/>
        <v>426.6609880749574</v>
      </c>
      <c r="O11">
        <f t="shared" si="3"/>
        <v>383.45826235093699</v>
      </c>
      <c r="P11">
        <f t="shared" si="4"/>
        <v>340.27257240204432</v>
      </c>
      <c r="Q11">
        <f t="shared" si="5"/>
        <v>320.83475298126064</v>
      </c>
      <c r="R11">
        <f t="shared" si="6"/>
        <v>301.39693356047701</v>
      </c>
      <c r="S11">
        <f t="shared" si="7"/>
        <v>281.95911413969333</v>
      </c>
    </row>
    <row r="12" spans="1:19" x14ac:dyDescent="0.2">
      <c r="A12" t="s">
        <v>15</v>
      </c>
      <c r="B12">
        <f>947*1.22</f>
        <v>1155.3399999999999</v>
      </c>
      <c r="C12" s="6">
        <v>1213.0999999999999</v>
      </c>
      <c r="D12" s="6">
        <v>1159.3</v>
      </c>
      <c r="E12" s="6">
        <v>1105.5</v>
      </c>
      <c r="F12" s="6">
        <v>1059.9000000000001</v>
      </c>
      <c r="G12" s="6">
        <v>1014.4</v>
      </c>
      <c r="H12" s="6">
        <v>968.9</v>
      </c>
      <c r="L12" t="s">
        <v>15</v>
      </c>
      <c r="M12">
        <f t="shared" si="1"/>
        <v>196.82112436115841</v>
      </c>
      <c r="N12">
        <f t="shared" si="2"/>
        <v>206.6609880749574</v>
      </c>
      <c r="O12">
        <f t="shared" si="3"/>
        <v>197.49574105621804</v>
      </c>
      <c r="P12">
        <f t="shared" si="4"/>
        <v>188.3304940374787</v>
      </c>
      <c r="Q12">
        <f t="shared" si="5"/>
        <v>180.56218057921637</v>
      </c>
      <c r="R12">
        <f t="shared" si="6"/>
        <v>172.81090289608176</v>
      </c>
      <c r="S12">
        <f t="shared" si="7"/>
        <v>165.0596252129472</v>
      </c>
    </row>
    <row r="13" spans="1:19" x14ac:dyDescent="0.2">
      <c r="A13" t="s">
        <v>16</v>
      </c>
      <c r="B13">
        <f>4083*J3</f>
        <v>4981.26</v>
      </c>
      <c r="C13" s="3">
        <v>4363.9900114313505</v>
      </c>
      <c r="D13" s="3">
        <v>4160.9495215525276</v>
      </c>
      <c r="E13" s="3">
        <v>4022.2687860909209</v>
      </c>
      <c r="F13" s="3">
        <v>3880.1811443616116</v>
      </c>
      <c r="G13" s="3">
        <v>3746.7915223673631</v>
      </c>
      <c r="H13" s="3">
        <v>3587.8684638205809</v>
      </c>
      <c r="L13" t="s">
        <v>16</v>
      </c>
      <c r="M13">
        <f t="shared" si="1"/>
        <v>848.59625212947196</v>
      </c>
      <c r="N13">
        <f t="shared" si="2"/>
        <v>743.43952494571556</v>
      </c>
      <c r="O13">
        <f t="shared" si="3"/>
        <v>708.85000367164014</v>
      </c>
      <c r="P13">
        <f t="shared" si="4"/>
        <v>685.22466543286555</v>
      </c>
      <c r="Q13">
        <f t="shared" si="5"/>
        <v>661.01893430351129</v>
      </c>
      <c r="R13">
        <f t="shared" si="6"/>
        <v>638.29497825679096</v>
      </c>
      <c r="S13">
        <f t="shared" si="7"/>
        <v>611.22120337658953</v>
      </c>
    </row>
    <row r="14" spans="1:19" x14ac:dyDescent="0.2">
      <c r="A14" t="s">
        <v>32</v>
      </c>
      <c r="B14">
        <f>B13*B65/B64</f>
        <v>9221.6216463985038</v>
      </c>
      <c r="C14">
        <f t="shared" ref="C14:H14" si="8">C13*C65/C64</f>
        <v>7914.9973276829223</v>
      </c>
      <c r="D14">
        <f t="shared" si="8"/>
        <v>7395.4053126599592</v>
      </c>
      <c r="E14">
        <f t="shared" si="8"/>
        <v>6997.9268166173679</v>
      </c>
      <c r="F14">
        <f t="shared" si="8"/>
        <v>6626.7805722029198</v>
      </c>
      <c r="G14">
        <f t="shared" si="8"/>
        <v>6276.7793670527208</v>
      </c>
      <c r="H14">
        <f t="shared" si="8"/>
        <v>5899.9631303307797</v>
      </c>
      <c r="L14" t="s">
        <v>32</v>
      </c>
      <c r="M14">
        <f t="shared" si="1"/>
        <v>1570.9747268140552</v>
      </c>
      <c r="N14">
        <f t="shared" si="2"/>
        <v>1348.3811461129339</v>
      </c>
      <c r="O14">
        <f t="shared" si="3"/>
        <v>1259.8646188517819</v>
      </c>
      <c r="P14">
        <f t="shared" si="4"/>
        <v>1192.1510760847304</v>
      </c>
      <c r="Q14">
        <f t="shared" si="5"/>
        <v>1128.9234364911276</v>
      </c>
      <c r="R14">
        <f t="shared" si="6"/>
        <v>1069.2980182372607</v>
      </c>
      <c r="S14">
        <f t="shared" si="7"/>
        <v>1005.1044515043917</v>
      </c>
    </row>
    <row r="15" spans="1:19" x14ac:dyDescent="0.2">
      <c r="A15" t="s">
        <v>68</v>
      </c>
      <c r="B15">
        <f>B13*B68/B64</f>
        <v>7245.8927034611797</v>
      </c>
      <c r="C15">
        <f t="shared" ref="C15:H15" si="9">C13*C68/C64</f>
        <v>6238.4837904728092</v>
      </c>
      <c r="D15">
        <f t="shared" si="9"/>
        <v>5852.6278061598678</v>
      </c>
      <c r="E15">
        <f t="shared" si="9"/>
        <v>5561.402250156324</v>
      </c>
      <c r="F15">
        <f t="shared" si="9"/>
        <v>5285.9849935229913</v>
      </c>
      <c r="G15">
        <f t="shared" si="9"/>
        <v>5031.864713318656</v>
      </c>
      <c r="H15">
        <f t="shared" si="9"/>
        <v>4741.9530681567421</v>
      </c>
      <c r="L15" t="s">
        <v>68</v>
      </c>
      <c r="M15">
        <f t="shared" si="1"/>
        <v>1234.3939869610188</v>
      </c>
      <c r="N15">
        <f t="shared" si="2"/>
        <v>1062.7740699272247</v>
      </c>
      <c r="O15">
        <f t="shared" si="3"/>
        <v>997.04051212263505</v>
      </c>
      <c r="P15">
        <f t="shared" si="4"/>
        <v>947.42798128727839</v>
      </c>
      <c r="Q15">
        <f t="shared" si="5"/>
        <v>900.50851678415529</v>
      </c>
      <c r="R15">
        <f t="shared" si="6"/>
        <v>857.21715729448988</v>
      </c>
      <c r="S15">
        <f t="shared" si="7"/>
        <v>807.82846135549266</v>
      </c>
    </row>
    <row r="16" spans="1:19" x14ac:dyDescent="0.2">
      <c r="A16" t="s">
        <v>69</v>
      </c>
      <c r="B16">
        <f>B13*B69/B64</f>
        <v>10512.369092609917</v>
      </c>
      <c r="C16">
        <f t="shared" ref="C16:H16" si="10">C13*C69/C64</f>
        <v>8938.5973014066858</v>
      </c>
      <c r="D16">
        <f t="shared" si="10"/>
        <v>8272.2654504026395</v>
      </c>
      <c r="E16">
        <f t="shared" si="10"/>
        <v>7757.2326588896331</v>
      </c>
      <c r="F16">
        <f t="shared" si="10"/>
        <v>7276.8632770174308</v>
      </c>
      <c r="G16">
        <f t="shared" si="10"/>
        <v>6830.9671806504657</v>
      </c>
      <c r="H16">
        <f t="shared" si="10"/>
        <v>6359.2416973625168</v>
      </c>
      <c r="L16" t="s">
        <v>69</v>
      </c>
      <c r="M16">
        <f t="shared" si="1"/>
        <v>1790.8635592180437</v>
      </c>
      <c r="N16">
        <f t="shared" si="2"/>
        <v>1522.7593358444099</v>
      </c>
      <c r="O16">
        <f t="shared" si="3"/>
        <v>1409.2445401026644</v>
      </c>
      <c r="P16">
        <f t="shared" si="4"/>
        <v>1321.5047119062408</v>
      </c>
      <c r="Q16">
        <f t="shared" si="5"/>
        <v>1239.6700642278417</v>
      </c>
      <c r="R16">
        <f t="shared" si="6"/>
        <v>1163.7082079472684</v>
      </c>
      <c r="S16">
        <f t="shared" si="7"/>
        <v>1083.3461153939552</v>
      </c>
    </row>
    <row r="17" spans="1:19" x14ac:dyDescent="0.2">
      <c r="A17" t="s">
        <v>29</v>
      </c>
      <c r="B17">
        <f>6242*J3</f>
        <v>7615.24</v>
      </c>
      <c r="C17" s="1">
        <v>6382.5935062578592</v>
      </c>
      <c r="D17" s="1">
        <v>4775.4022255377176</v>
      </c>
      <c r="E17" s="1">
        <v>4604.8521460542261</v>
      </c>
      <c r="F17" s="1">
        <v>4434.3020665707345</v>
      </c>
      <c r="G17" s="1">
        <v>4263.7519870872429</v>
      </c>
      <c r="H17" s="1">
        <v>4093.2019076037577</v>
      </c>
      <c r="L17" t="s">
        <v>29</v>
      </c>
      <c r="M17">
        <f t="shared" si="1"/>
        <v>1297.3151618398635</v>
      </c>
      <c r="N17">
        <f t="shared" si="2"/>
        <v>1087.3242770456318</v>
      </c>
      <c r="O17">
        <f t="shared" si="3"/>
        <v>813.52678458904904</v>
      </c>
      <c r="P17">
        <f t="shared" si="4"/>
        <v>784.47225656801129</v>
      </c>
      <c r="Q17">
        <f t="shared" si="5"/>
        <v>755.41772854697354</v>
      </c>
      <c r="R17">
        <f t="shared" si="6"/>
        <v>726.36320052593578</v>
      </c>
      <c r="S17">
        <f t="shared" si="7"/>
        <v>697.30867250489905</v>
      </c>
    </row>
    <row r="18" spans="1:19" x14ac:dyDescent="0.2">
      <c r="A18" t="s">
        <v>28</v>
      </c>
      <c r="B18">
        <f>1997*J3/1.34</f>
        <v>1818.1641791044776</v>
      </c>
      <c r="C18">
        <v>1552.022150827363</v>
      </c>
      <c r="D18">
        <v>1255.9679844245954</v>
      </c>
      <c r="E18">
        <v>1022.1667794383628</v>
      </c>
      <c r="F18">
        <v>933.67334500097581</v>
      </c>
      <c r="G18">
        <v>845.18923122023091</v>
      </c>
      <c r="H18">
        <v>756.71676809280405</v>
      </c>
      <c r="L18" t="s">
        <v>28</v>
      </c>
      <c r="M18">
        <f t="shared" si="1"/>
        <v>309.73836100587351</v>
      </c>
      <c r="N18">
        <f t="shared" si="2"/>
        <v>264.39900354810271</v>
      </c>
      <c r="O18">
        <f t="shared" si="3"/>
        <v>213.96388150333823</v>
      </c>
      <c r="P18">
        <f t="shared" si="4"/>
        <v>174.13403397587101</v>
      </c>
      <c r="Q18">
        <f t="shared" si="5"/>
        <v>159.05849148227867</v>
      </c>
      <c r="R18">
        <f t="shared" si="6"/>
        <v>143.98453683479232</v>
      </c>
      <c r="S18">
        <f t="shared" si="7"/>
        <v>128.91256696640613</v>
      </c>
    </row>
    <row r="19" spans="1:19" ht="17" thickBot="1" x14ac:dyDescent="0.25">
      <c r="A19" t="s">
        <v>31</v>
      </c>
      <c r="B19">
        <f t="shared" ref="B19:H19" si="11">B2+B18-B4</f>
        <v>2345.950746268657</v>
      </c>
      <c r="C19">
        <f t="shared" si="11"/>
        <v>1945.0076689109455</v>
      </c>
      <c r="D19">
        <f t="shared" si="11"/>
        <v>1705.3933929392824</v>
      </c>
      <c r="E19">
        <f t="shared" si="11"/>
        <v>1610.9451939185542</v>
      </c>
      <c r="F19">
        <f t="shared" si="11"/>
        <v>1504.3489815052853</v>
      </c>
      <c r="G19">
        <f t="shared" si="11"/>
        <v>1397.7620897486684</v>
      </c>
      <c r="H19">
        <f t="shared" si="11"/>
        <v>1291.1868486453609</v>
      </c>
      <c r="L19" t="s">
        <v>31</v>
      </c>
      <c r="M19">
        <f t="shared" si="1"/>
        <v>399.65089374253097</v>
      </c>
      <c r="N19">
        <f t="shared" si="2"/>
        <v>331.3471326935171</v>
      </c>
      <c r="O19">
        <f t="shared" si="3"/>
        <v>290.52698346495441</v>
      </c>
      <c r="P19">
        <f t="shared" si="4"/>
        <v>274.43700066755605</v>
      </c>
      <c r="Q19">
        <f t="shared" si="5"/>
        <v>256.27750962611333</v>
      </c>
      <c r="R19">
        <f t="shared" si="6"/>
        <v>238.11960643077825</v>
      </c>
      <c r="S19">
        <f t="shared" si="7"/>
        <v>219.96368801454187</v>
      </c>
    </row>
    <row r="20" spans="1:19" ht="17" thickTop="1" x14ac:dyDescent="0.2">
      <c r="A20" t="s">
        <v>66</v>
      </c>
      <c r="B20">
        <f>841*J3</f>
        <v>1026.02</v>
      </c>
      <c r="C20" s="12">
        <v>1319.3961678558883</v>
      </c>
      <c r="D20" s="12">
        <v>1270.4759889970424</v>
      </c>
      <c r="E20" s="12">
        <v>1221.4443746510465</v>
      </c>
      <c r="F20" s="12">
        <v>1172.5241957922008</v>
      </c>
      <c r="G20" s="12">
        <v>1123.6040169333548</v>
      </c>
      <c r="H20" s="12">
        <v>1074.572402587359</v>
      </c>
      <c r="L20" t="s">
        <v>66</v>
      </c>
      <c r="M20">
        <f t="shared" si="1"/>
        <v>174.79045996592845</v>
      </c>
      <c r="N20">
        <f t="shared" si="2"/>
        <v>224.76936420032169</v>
      </c>
      <c r="O20">
        <f t="shared" si="3"/>
        <v>216.43543253782664</v>
      </c>
      <c r="P20">
        <f t="shared" si="4"/>
        <v>208.08251697632818</v>
      </c>
      <c r="Q20">
        <f t="shared" si="5"/>
        <v>199.74858531383319</v>
      </c>
      <c r="R20">
        <f t="shared" si="6"/>
        <v>191.41465365133814</v>
      </c>
      <c r="S20">
        <f t="shared" si="7"/>
        <v>183.06173808983968</v>
      </c>
    </row>
    <row r="21" spans="1:19" x14ac:dyDescent="0.2">
      <c r="M21">
        <f t="shared" si="1"/>
        <v>0</v>
      </c>
      <c r="N21">
        <f t="shared" si="2"/>
        <v>0</v>
      </c>
      <c r="O21">
        <f t="shared" si="3"/>
        <v>0</v>
      </c>
      <c r="P21">
        <f t="shared" si="4"/>
        <v>0</v>
      </c>
      <c r="Q21">
        <f t="shared" si="5"/>
        <v>0</v>
      </c>
      <c r="R21">
        <f t="shared" si="6"/>
        <v>0</v>
      </c>
      <c r="S21">
        <f t="shared" si="7"/>
        <v>0</v>
      </c>
    </row>
    <row r="22" spans="1:19" x14ac:dyDescent="0.2">
      <c r="M22">
        <f t="shared" si="1"/>
        <v>0</v>
      </c>
      <c r="N22">
        <f t="shared" si="2"/>
        <v>0</v>
      </c>
      <c r="O22">
        <f t="shared" si="3"/>
        <v>0</v>
      </c>
      <c r="P22">
        <f t="shared" si="4"/>
        <v>0</v>
      </c>
      <c r="Q22">
        <f t="shared" si="5"/>
        <v>0</v>
      </c>
      <c r="R22">
        <f t="shared" si="6"/>
        <v>0</v>
      </c>
      <c r="S22">
        <f t="shared" si="7"/>
        <v>0</v>
      </c>
    </row>
    <row r="23" spans="1:19" x14ac:dyDescent="0.2">
      <c r="M23">
        <f t="shared" si="1"/>
        <v>0</v>
      </c>
      <c r="N23">
        <f t="shared" si="2"/>
        <v>0</v>
      </c>
      <c r="O23">
        <f t="shared" si="3"/>
        <v>0</v>
      </c>
      <c r="P23">
        <f t="shared" si="4"/>
        <v>0</v>
      </c>
      <c r="Q23">
        <f t="shared" si="5"/>
        <v>0</v>
      </c>
      <c r="R23">
        <f t="shared" si="6"/>
        <v>0</v>
      </c>
      <c r="S23">
        <f t="shared" si="7"/>
        <v>0</v>
      </c>
    </row>
    <row r="33" spans="1:19" x14ac:dyDescent="0.2">
      <c r="A33" t="s">
        <v>8</v>
      </c>
      <c r="B33" t="s">
        <v>0</v>
      </c>
      <c r="C33" t="s">
        <v>1</v>
      </c>
      <c r="D33" t="s">
        <v>2</v>
      </c>
      <c r="E33" t="s">
        <v>3</v>
      </c>
      <c r="F33" t="s">
        <v>27</v>
      </c>
      <c r="G33" t="s">
        <v>10</v>
      </c>
      <c r="H33" t="s">
        <v>12</v>
      </c>
      <c r="I33" t="s">
        <v>23</v>
      </c>
      <c r="J33" t="s">
        <v>26</v>
      </c>
      <c r="K33" t="s">
        <v>11</v>
      </c>
      <c r="L33" t="s">
        <v>13</v>
      </c>
      <c r="M33" t="s">
        <v>16</v>
      </c>
      <c r="N33" t="s">
        <v>67</v>
      </c>
      <c r="O33" t="s">
        <v>24</v>
      </c>
      <c r="P33" t="s">
        <v>25</v>
      </c>
      <c r="Q33" t="s">
        <v>68</v>
      </c>
      <c r="R33" t="s">
        <v>69</v>
      </c>
      <c r="S33" t="s">
        <v>66</v>
      </c>
    </row>
    <row r="34" spans="1:19" x14ac:dyDescent="0.2">
      <c r="A34">
        <v>2020</v>
      </c>
      <c r="B34">
        <v>368</v>
      </c>
      <c r="C34">
        <v>678</v>
      </c>
      <c r="D34">
        <v>567</v>
      </c>
      <c r="E34">
        <v>690</v>
      </c>
      <c r="F34">
        <v>960</v>
      </c>
      <c r="G34">
        <v>1212</v>
      </c>
      <c r="H34">
        <v>672</v>
      </c>
      <c r="I34">
        <v>1165</v>
      </c>
      <c r="J34">
        <v>1884</v>
      </c>
      <c r="K34">
        <v>628</v>
      </c>
      <c r="L34">
        <v>248</v>
      </c>
      <c r="M34">
        <v>1069</v>
      </c>
      <c r="N34">
        <v>1979</v>
      </c>
      <c r="O34">
        <v>2270</v>
      </c>
      <c r="P34">
        <v>1796</v>
      </c>
      <c r="Q34">
        <v>1555</v>
      </c>
      <c r="R34">
        <v>2256</v>
      </c>
      <c r="S34">
        <v>220</v>
      </c>
    </row>
    <row r="35" spans="1:19" x14ac:dyDescent="0.2">
      <c r="A35">
        <v>2025</v>
      </c>
      <c r="B35">
        <v>297</v>
      </c>
      <c r="C35">
        <v>562</v>
      </c>
      <c r="D35">
        <v>257</v>
      </c>
      <c r="E35">
        <v>462</v>
      </c>
      <c r="F35">
        <v>783</v>
      </c>
      <c r="G35">
        <v>1093</v>
      </c>
      <c r="H35">
        <v>621</v>
      </c>
      <c r="I35">
        <v>1115</v>
      </c>
      <c r="J35">
        <v>1793</v>
      </c>
      <c r="K35">
        <v>540</v>
      </c>
      <c r="L35">
        <v>232</v>
      </c>
      <c r="M35">
        <v>1036</v>
      </c>
      <c r="N35">
        <v>1879</v>
      </c>
      <c r="O35">
        <v>2270</v>
      </c>
      <c r="P35">
        <v>1796</v>
      </c>
      <c r="Q35">
        <v>1481</v>
      </c>
      <c r="R35">
        <v>2122</v>
      </c>
      <c r="S35">
        <v>201</v>
      </c>
    </row>
    <row r="36" spans="1:19" x14ac:dyDescent="0.2">
      <c r="A36">
        <v>2030</v>
      </c>
      <c r="B36">
        <v>253</v>
      </c>
      <c r="C36">
        <v>488</v>
      </c>
      <c r="D36">
        <v>210</v>
      </c>
      <c r="E36">
        <v>342</v>
      </c>
      <c r="F36">
        <v>673</v>
      </c>
      <c r="G36">
        <v>996</v>
      </c>
      <c r="H36">
        <v>581</v>
      </c>
      <c r="I36">
        <v>1075</v>
      </c>
      <c r="J36">
        <v>1716</v>
      </c>
      <c r="K36">
        <v>479</v>
      </c>
      <c r="L36">
        <v>221</v>
      </c>
      <c r="M36">
        <v>1006</v>
      </c>
      <c r="N36">
        <v>1788</v>
      </c>
      <c r="O36">
        <v>2270</v>
      </c>
      <c r="P36">
        <v>1796</v>
      </c>
      <c r="Q36">
        <v>1415</v>
      </c>
      <c r="R36">
        <v>2000</v>
      </c>
      <c r="S36">
        <v>189</v>
      </c>
    </row>
    <row r="37" spans="1:19" x14ac:dyDescent="0.2">
      <c r="A37">
        <v>2035</v>
      </c>
      <c r="B37">
        <v>226</v>
      </c>
      <c r="C37">
        <v>441</v>
      </c>
      <c r="D37">
        <v>183</v>
      </c>
      <c r="E37">
        <v>278</v>
      </c>
      <c r="F37">
        <v>604</v>
      </c>
      <c r="G37">
        <v>918</v>
      </c>
      <c r="H37">
        <v>550</v>
      </c>
      <c r="I37">
        <v>1042</v>
      </c>
      <c r="J37">
        <v>1649</v>
      </c>
      <c r="K37">
        <v>436</v>
      </c>
      <c r="L37">
        <v>213</v>
      </c>
      <c r="M37">
        <v>980</v>
      </c>
      <c r="N37">
        <v>1705</v>
      </c>
      <c r="O37">
        <v>2270</v>
      </c>
      <c r="P37">
        <v>1796</v>
      </c>
      <c r="Q37">
        <v>1355</v>
      </c>
      <c r="R37">
        <v>1890</v>
      </c>
      <c r="S37">
        <v>181</v>
      </c>
    </row>
    <row r="38" spans="1:19" x14ac:dyDescent="0.2">
      <c r="A38">
        <v>2040</v>
      </c>
      <c r="B38">
        <v>209</v>
      </c>
      <c r="C38">
        <v>411</v>
      </c>
      <c r="D38">
        <v>169</v>
      </c>
      <c r="E38">
        <v>245</v>
      </c>
      <c r="F38">
        <v>561</v>
      </c>
      <c r="G38">
        <v>853</v>
      </c>
      <c r="H38">
        <v>526</v>
      </c>
      <c r="I38">
        <v>1015</v>
      </c>
      <c r="J38">
        <v>1592</v>
      </c>
      <c r="K38">
        <v>407</v>
      </c>
      <c r="L38">
        <v>208</v>
      </c>
      <c r="M38">
        <v>955</v>
      </c>
      <c r="N38">
        <v>1631</v>
      </c>
      <c r="O38">
        <v>2270</v>
      </c>
      <c r="P38">
        <v>1796</v>
      </c>
      <c r="Q38">
        <v>1301</v>
      </c>
      <c r="R38">
        <v>1791</v>
      </c>
      <c r="S38">
        <v>176</v>
      </c>
    </row>
    <row r="39" spans="1:19" x14ac:dyDescent="0.2">
      <c r="A39">
        <v>2045</v>
      </c>
      <c r="B39">
        <v>198</v>
      </c>
      <c r="C39">
        <v>392</v>
      </c>
      <c r="D39">
        <v>160</v>
      </c>
      <c r="E39">
        <v>227</v>
      </c>
      <c r="F39">
        <v>534</v>
      </c>
      <c r="G39">
        <v>801</v>
      </c>
      <c r="H39">
        <v>507</v>
      </c>
      <c r="I39">
        <v>993</v>
      </c>
      <c r="J39">
        <v>1542</v>
      </c>
      <c r="K39">
        <v>386</v>
      </c>
      <c r="L39">
        <v>204</v>
      </c>
      <c r="M39">
        <v>933</v>
      </c>
      <c r="N39">
        <v>1563</v>
      </c>
      <c r="O39">
        <v>2270</v>
      </c>
      <c r="P39">
        <v>1796</v>
      </c>
      <c r="Q39">
        <v>1253</v>
      </c>
      <c r="R39">
        <v>1701</v>
      </c>
      <c r="S39">
        <v>172</v>
      </c>
    </row>
    <row r="40" spans="1:19" x14ac:dyDescent="0.2">
      <c r="A40">
        <v>2050</v>
      </c>
      <c r="B40">
        <v>191</v>
      </c>
      <c r="C40">
        <v>379</v>
      </c>
      <c r="D40">
        <v>156</v>
      </c>
      <c r="E40">
        <v>218</v>
      </c>
      <c r="F40">
        <v>517</v>
      </c>
      <c r="G40">
        <v>758</v>
      </c>
      <c r="H40">
        <v>493</v>
      </c>
      <c r="I40">
        <v>976</v>
      </c>
      <c r="J40">
        <v>1500</v>
      </c>
      <c r="K40">
        <v>372</v>
      </c>
      <c r="L40">
        <v>202</v>
      </c>
      <c r="M40">
        <v>914</v>
      </c>
      <c r="N40">
        <v>1503</v>
      </c>
      <c r="O40">
        <v>2270</v>
      </c>
      <c r="P40">
        <v>1796</v>
      </c>
      <c r="Q40">
        <v>1208</v>
      </c>
      <c r="R40">
        <v>1620</v>
      </c>
      <c r="S40">
        <v>170</v>
      </c>
    </row>
    <row r="42" spans="1:19" x14ac:dyDescent="0.2">
      <c r="B42" t="s">
        <v>0</v>
      </c>
      <c r="C42" t="s">
        <v>1</v>
      </c>
      <c r="D42" t="s">
        <v>2</v>
      </c>
      <c r="E42" t="s">
        <v>3</v>
      </c>
      <c r="F42" t="s">
        <v>27</v>
      </c>
      <c r="G42" t="s">
        <v>10</v>
      </c>
      <c r="H42" t="s">
        <v>12</v>
      </c>
      <c r="I42" t="s">
        <v>23</v>
      </c>
      <c r="J42" t="s">
        <v>26</v>
      </c>
      <c r="K42" t="s">
        <v>11</v>
      </c>
      <c r="L42" t="s">
        <v>13</v>
      </c>
      <c r="M42" t="s">
        <v>16</v>
      </c>
      <c r="N42" t="s">
        <v>24</v>
      </c>
      <c r="O42" t="s">
        <v>25</v>
      </c>
    </row>
    <row r="43" spans="1:19" x14ac:dyDescent="0.2">
      <c r="B43">
        <f t="shared" ref="B43:M43" si="12">B34*5.87</f>
        <v>2160.16</v>
      </c>
      <c r="C43">
        <f t="shared" si="12"/>
        <v>3979.86</v>
      </c>
      <c r="D43">
        <f t="shared" si="12"/>
        <v>3328.29</v>
      </c>
      <c r="E43">
        <f t="shared" si="12"/>
        <v>4050.3</v>
      </c>
      <c r="F43">
        <f t="shared" si="12"/>
        <v>5635.2</v>
      </c>
      <c r="G43">
        <f t="shared" si="12"/>
        <v>7114.4400000000005</v>
      </c>
      <c r="H43">
        <f t="shared" si="12"/>
        <v>3944.64</v>
      </c>
      <c r="I43">
        <f t="shared" si="12"/>
        <v>6838.55</v>
      </c>
      <c r="J43">
        <f t="shared" si="12"/>
        <v>11059.08</v>
      </c>
      <c r="K43">
        <f t="shared" si="12"/>
        <v>3686.36</v>
      </c>
      <c r="L43">
        <f t="shared" si="12"/>
        <v>1455.76</v>
      </c>
      <c r="M43">
        <f t="shared" si="12"/>
        <v>6275.03</v>
      </c>
      <c r="N43">
        <f t="shared" ref="N43:O49" si="13">O34*5.87</f>
        <v>13324.9</v>
      </c>
      <c r="O43">
        <f t="shared" si="13"/>
        <v>10542.52</v>
      </c>
    </row>
    <row r="44" spans="1:19" x14ac:dyDescent="0.2">
      <c r="B44">
        <f t="shared" ref="B44:M44" si="14">B35*5.87</f>
        <v>1743.39</v>
      </c>
      <c r="C44">
        <f t="shared" si="14"/>
        <v>3298.94</v>
      </c>
      <c r="D44">
        <f t="shared" si="14"/>
        <v>1508.59</v>
      </c>
      <c r="E44">
        <f t="shared" si="14"/>
        <v>2711.94</v>
      </c>
      <c r="F44">
        <f t="shared" si="14"/>
        <v>4596.21</v>
      </c>
      <c r="G44">
        <f t="shared" si="14"/>
        <v>6415.91</v>
      </c>
      <c r="H44">
        <f t="shared" si="14"/>
        <v>3645.27</v>
      </c>
      <c r="I44">
        <f t="shared" si="14"/>
        <v>6545.05</v>
      </c>
      <c r="J44">
        <f t="shared" si="14"/>
        <v>10524.91</v>
      </c>
      <c r="K44">
        <f t="shared" si="14"/>
        <v>3169.8</v>
      </c>
      <c r="L44">
        <f t="shared" si="14"/>
        <v>1361.84</v>
      </c>
      <c r="M44">
        <f t="shared" si="14"/>
        <v>6081.32</v>
      </c>
      <c r="N44">
        <f t="shared" si="13"/>
        <v>13324.9</v>
      </c>
      <c r="O44">
        <f t="shared" si="13"/>
        <v>10542.52</v>
      </c>
    </row>
    <row r="45" spans="1:19" x14ac:dyDescent="0.2">
      <c r="B45">
        <f t="shared" ref="B45:M45" si="15">B36*5.87</f>
        <v>1485.1100000000001</v>
      </c>
      <c r="C45">
        <f t="shared" si="15"/>
        <v>2864.56</v>
      </c>
      <c r="D45">
        <f t="shared" si="15"/>
        <v>1232.7</v>
      </c>
      <c r="E45">
        <f t="shared" si="15"/>
        <v>2007.54</v>
      </c>
      <c r="F45">
        <f t="shared" si="15"/>
        <v>3950.51</v>
      </c>
      <c r="G45">
        <f t="shared" si="15"/>
        <v>5846.52</v>
      </c>
      <c r="H45">
        <f t="shared" si="15"/>
        <v>3410.4700000000003</v>
      </c>
      <c r="I45">
        <f t="shared" si="15"/>
        <v>6310.25</v>
      </c>
      <c r="J45">
        <f t="shared" si="15"/>
        <v>10072.92</v>
      </c>
      <c r="K45">
        <f t="shared" si="15"/>
        <v>2811.73</v>
      </c>
      <c r="L45">
        <f t="shared" si="15"/>
        <v>1297.27</v>
      </c>
      <c r="M45">
        <f t="shared" si="15"/>
        <v>5905.22</v>
      </c>
      <c r="N45">
        <f t="shared" si="13"/>
        <v>13324.9</v>
      </c>
      <c r="O45">
        <f t="shared" si="13"/>
        <v>10542.52</v>
      </c>
    </row>
    <row r="46" spans="1:19" x14ac:dyDescent="0.2">
      <c r="B46">
        <f t="shared" ref="B46:M46" si="16">B37*5.87</f>
        <v>1326.6200000000001</v>
      </c>
      <c r="C46">
        <f t="shared" si="16"/>
        <v>2588.67</v>
      </c>
      <c r="D46">
        <f t="shared" si="16"/>
        <v>1074.21</v>
      </c>
      <c r="E46">
        <f t="shared" si="16"/>
        <v>1631.8600000000001</v>
      </c>
      <c r="F46">
        <f t="shared" si="16"/>
        <v>3545.48</v>
      </c>
      <c r="G46">
        <f t="shared" si="16"/>
        <v>5388.66</v>
      </c>
      <c r="H46">
        <f t="shared" si="16"/>
        <v>3228.5</v>
      </c>
      <c r="I46">
        <f t="shared" si="16"/>
        <v>6116.54</v>
      </c>
      <c r="J46">
        <f t="shared" si="16"/>
        <v>9679.630000000001</v>
      </c>
      <c r="K46">
        <f t="shared" si="16"/>
        <v>2559.3200000000002</v>
      </c>
      <c r="L46">
        <f t="shared" si="16"/>
        <v>1250.31</v>
      </c>
      <c r="M46">
        <f t="shared" si="16"/>
        <v>5752.6</v>
      </c>
      <c r="N46">
        <f t="shared" si="13"/>
        <v>13324.9</v>
      </c>
      <c r="O46">
        <f t="shared" si="13"/>
        <v>10542.52</v>
      </c>
    </row>
    <row r="47" spans="1:19" x14ac:dyDescent="0.2">
      <c r="B47">
        <f t="shared" ref="B47:M47" si="17">B38*5.87</f>
        <v>1226.83</v>
      </c>
      <c r="C47">
        <f t="shared" si="17"/>
        <v>2412.5700000000002</v>
      </c>
      <c r="D47">
        <f t="shared" si="17"/>
        <v>992.03</v>
      </c>
      <c r="E47">
        <f t="shared" si="17"/>
        <v>1438.15</v>
      </c>
      <c r="F47">
        <f t="shared" si="17"/>
        <v>3293.07</v>
      </c>
      <c r="G47">
        <f t="shared" si="17"/>
        <v>5007.1099999999997</v>
      </c>
      <c r="H47">
        <f t="shared" si="17"/>
        <v>3087.62</v>
      </c>
      <c r="I47">
        <f t="shared" si="17"/>
        <v>5958.05</v>
      </c>
      <c r="J47">
        <f t="shared" si="17"/>
        <v>9345.0400000000009</v>
      </c>
      <c r="K47">
        <f t="shared" si="17"/>
        <v>2389.09</v>
      </c>
      <c r="L47">
        <f t="shared" si="17"/>
        <v>1220.96</v>
      </c>
      <c r="M47">
        <f t="shared" si="17"/>
        <v>5605.85</v>
      </c>
      <c r="N47">
        <f t="shared" si="13"/>
        <v>13324.9</v>
      </c>
      <c r="O47">
        <f t="shared" si="13"/>
        <v>10542.52</v>
      </c>
    </row>
    <row r="48" spans="1:19" x14ac:dyDescent="0.2">
      <c r="B48">
        <f t="shared" ref="B48:M48" si="18">B39*5.87</f>
        <v>1162.26</v>
      </c>
      <c r="C48">
        <f t="shared" si="18"/>
        <v>2301.04</v>
      </c>
      <c r="D48">
        <f t="shared" si="18"/>
        <v>939.2</v>
      </c>
      <c r="E48">
        <f t="shared" si="18"/>
        <v>1332.49</v>
      </c>
      <c r="F48">
        <f t="shared" si="18"/>
        <v>3134.58</v>
      </c>
      <c r="G48">
        <f t="shared" si="18"/>
        <v>4701.87</v>
      </c>
      <c r="H48">
        <f t="shared" si="18"/>
        <v>2976.09</v>
      </c>
      <c r="I48">
        <f t="shared" si="18"/>
        <v>5828.91</v>
      </c>
      <c r="J48">
        <f t="shared" si="18"/>
        <v>9051.5400000000009</v>
      </c>
      <c r="K48">
        <f t="shared" si="18"/>
        <v>2265.8200000000002</v>
      </c>
      <c r="L48">
        <f t="shared" si="18"/>
        <v>1197.48</v>
      </c>
      <c r="M48">
        <f t="shared" si="18"/>
        <v>5476.71</v>
      </c>
      <c r="N48">
        <f t="shared" si="13"/>
        <v>13324.9</v>
      </c>
      <c r="O48">
        <f t="shared" si="13"/>
        <v>10542.52</v>
      </c>
    </row>
    <row r="49" spans="1:15" x14ac:dyDescent="0.2">
      <c r="B49">
        <f t="shared" ref="B49:M49" si="19">B40*5.87</f>
        <v>1121.17</v>
      </c>
      <c r="C49">
        <f t="shared" si="19"/>
        <v>2224.73</v>
      </c>
      <c r="D49">
        <f t="shared" si="19"/>
        <v>915.72</v>
      </c>
      <c r="E49">
        <f t="shared" si="19"/>
        <v>1279.6600000000001</v>
      </c>
      <c r="F49">
        <f t="shared" si="19"/>
        <v>3034.79</v>
      </c>
      <c r="G49">
        <f t="shared" si="19"/>
        <v>4449.46</v>
      </c>
      <c r="H49">
        <f t="shared" si="19"/>
        <v>2893.91</v>
      </c>
      <c r="I49">
        <f t="shared" si="19"/>
        <v>5729.12</v>
      </c>
      <c r="J49">
        <f t="shared" si="19"/>
        <v>8805</v>
      </c>
      <c r="K49">
        <f t="shared" si="19"/>
        <v>2183.64</v>
      </c>
      <c r="L49">
        <f t="shared" si="19"/>
        <v>1185.74</v>
      </c>
      <c r="M49">
        <f t="shared" si="19"/>
        <v>5365.18</v>
      </c>
      <c r="N49">
        <f t="shared" si="13"/>
        <v>13324.9</v>
      </c>
      <c r="O49">
        <f t="shared" si="13"/>
        <v>10542.52</v>
      </c>
    </row>
    <row r="52" spans="1:15" x14ac:dyDescent="0.2">
      <c r="A52" t="s">
        <v>8</v>
      </c>
      <c r="B52" s="13">
        <v>2020</v>
      </c>
      <c r="C52" s="13">
        <v>2025</v>
      </c>
      <c r="D52" s="13">
        <v>2030</v>
      </c>
      <c r="E52" s="13">
        <v>2035</v>
      </c>
      <c r="F52" s="13">
        <v>2040</v>
      </c>
      <c r="G52" s="13">
        <v>2045</v>
      </c>
      <c r="H52" s="13">
        <v>2050</v>
      </c>
    </row>
    <row r="53" spans="1:15" x14ac:dyDescent="0.2">
      <c r="A53" t="s">
        <v>0</v>
      </c>
      <c r="B53">
        <v>368</v>
      </c>
      <c r="C53">
        <v>297</v>
      </c>
      <c r="D53">
        <v>253</v>
      </c>
      <c r="E53">
        <v>226</v>
      </c>
      <c r="F53">
        <v>209</v>
      </c>
      <c r="G53">
        <v>198</v>
      </c>
      <c r="H53">
        <v>191</v>
      </c>
    </row>
    <row r="54" spans="1:15" x14ac:dyDescent="0.2">
      <c r="A54" t="s">
        <v>1</v>
      </c>
      <c r="B54">
        <v>678</v>
      </c>
      <c r="C54">
        <v>562</v>
      </c>
      <c r="D54">
        <v>488</v>
      </c>
      <c r="E54">
        <v>441</v>
      </c>
      <c r="F54">
        <v>411</v>
      </c>
      <c r="G54">
        <v>392</v>
      </c>
      <c r="H54">
        <v>379</v>
      </c>
    </row>
    <row r="55" spans="1:15" x14ac:dyDescent="0.2">
      <c r="A55" t="s">
        <v>2</v>
      </c>
      <c r="B55">
        <v>567</v>
      </c>
      <c r="C55">
        <v>257</v>
      </c>
      <c r="D55">
        <v>210</v>
      </c>
      <c r="E55">
        <v>183</v>
      </c>
      <c r="F55">
        <v>169</v>
      </c>
      <c r="G55">
        <v>160</v>
      </c>
      <c r="H55">
        <v>156</v>
      </c>
    </row>
    <row r="56" spans="1:15" x14ac:dyDescent="0.2">
      <c r="A56" t="s">
        <v>3</v>
      </c>
      <c r="B56">
        <v>690</v>
      </c>
      <c r="C56">
        <v>462</v>
      </c>
      <c r="D56">
        <v>342</v>
      </c>
      <c r="E56">
        <v>278</v>
      </c>
      <c r="F56">
        <v>245</v>
      </c>
      <c r="G56">
        <v>227</v>
      </c>
      <c r="H56">
        <v>218</v>
      </c>
    </row>
    <row r="57" spans="1:15" x14ac:dyDescent="0.2">
      <c r="A57" t="s">
        <v>27</v>
      </c>
      <c r="B57">
        <v>960</v>
      </c>
      <c r="C57">
        <v>783</v>
      </c>
      <c r="D57">
        <v>673</v>
      </c>
      <c r="E57">
        <v>604</v>
      </c>
      <c r="F57">
        <v>561</v>
      </c>
      <c r="G57">
        <v>534</v>
      </c>
      <c r="H57">
        <v>517</v>
      </c>
    </row>
    <row r="58" spans="1:15" x14ac:dyDescent="0.2">
      <c r="A58" t="s">
        <v>10</v>
      </c>
      <c r="B58">
        <v>1212</v>
      </c>
      <c r="C58">
        <v>1093</v>
      </c>
      <c r="D58">
        <v>996</v>
      </c>
      <c r="E58">
        <v>918</v>
      </c>
      <c r="F58">
        <v>853</v>
      </c>
      <c r="G58">
        <v>801</v>
      </c>
      <c r="H58">
        <v>758</v>
      </c>
    </row>
    <row r="59" spans="1:15" x14ac:dyDescent="0.2">
      <c r="A59" t="s">
        <v>12</v>
      </c>
      <c r="B59">
        <v>672</v>
      </c>
      <c r="C59">
        <v>621</v>
      </c>
      <c r="D59">
        <v>581</v>
      </c>
      <c r="E59">
        <v>550</v>
      </c>
      <c r="F59">
        <v>526</v>
      </c>
      <c r="G59">
        <v>507</v>
      </c>
      <c r="H59">
        <v>493</v>
      </c>
    </row>
    <row r="60" spans="1:15" x14ac:dyDescent="0.2">
      <c r="A60" t="s">
        <v>23</v>
      </c>
      <c r="B60">
        <v>1165</v>
      </c>
      <c r="C60">
        <v>1115</v>
      </c>
      <c r="D60">
        <v>1075</v>
      </c>
      <c r="E60">
        <v>1042</v>
      </c>
      <c r="F60">
        <v>1015</v>
      </c>
      <c r="G60">
        <v>993</v>
      </c>
      <c r="H60">
        <v>976</v>
      </c>
    </row>
    <row r="61" spans="1:15" x14ac:dyDescent="0.2">
      <c r="A61" t="s">
        <v>26</v>
      </c>
      <c r="B61">
        <v>1884</v>
      </c>
      <c r="C61">
        <v>1793</v>
      </c>
      <c r="D61">
        <v>1716</v>
      </c>
      <c r="E61">
        <v>1649</v>
      </c>
      <c r="F61">
        <v>1592</v>
      </c>
      <c r="G61">
        <v>1542</v>
      </c>
      <c r="H61">
        <v>1500</v>
      </c>
    </row>
    <row r="62" spans="1:15" x14ac:dyDescent="0.2">
      <c r="A62" t="s">
        <v>11</v>
      </c>
      <c r="B62">
        <v>628</v>
      </c>
      <c r="C62">
        <v>540</v>
      </c>
      <c r="D62">
        <v>479</v>
      </c>
      <c r="E62">
        <v>436</v>
      </c>
      <c r="F62">
        <v>407</v>
      </c>
      <c r="G62">
        <v>386</v>
      </c>
      <c r="H62">
        <v>372</v>
      </c>
    </row>
    <row r="63" spans="1:15" x14ac:dyDescent="0.2">
      <c r="A63" t="s">
        <v>13</v>
      </c>
      <c r="B63">
        <v>248</v>
      </c>
      <c r="C63">
        <v>232</v>
      </c>
      <c r="D63">
        <v>221</v>
      </c>
      <c r="E63">
        <v>213</v>
      </c>
      <c r="F63">
        <v>208</v>
      </c>
      <c r="G63">
        <v>204</v>
      </c>
      <c r="H63">
        <v>202</v>
      </c>
    </row>
    <row r="64" spans="1:15" x14ac:dyDescent="0.2">
      <c r="A64" t="s">
        <v>16</v>
      </c>
      <c r="B64">
        <v>1069</v>
      </c>
      <c r="C64">
        <v>1036</v>
      </c>
      <c r="D64">
        <v>1006</v>
      </c>
      <c r="E64">
        <v>980</v>
      </c>
      <c r="F64">
        <v>955</v>
      </c>
      <c r="G64">
        <v>933</v>
      </c>
      <c r="H64">
        <v>914</v>
      </c>
    </row>
    <row r="65" spans="1:8" x14ac:dyDescent="0.2">
      <c r="A65" t="s">
        <v>67</v>
      </c>
      <c r="B65">
        <v>1979</v>
      </c>
      <c r="C65">
        <v>1879</v>
      </c>
      <c r="D65">
        <v>1788</v>
      </c>
      <c r="E65">
        <v>1705</v>
      </c>
      <c r="F65">
        <v>1631</v>
      </c>
      <c r="G65">
        <v>1563</v>
      </c>
      <c r="H65">
        <v>1503</v>
      </c>
    </row>
    <row r="66" spans="1:8" x14ac:dyDescent="0.2">
      <c r="A66" t="s">
        <v>24</v>
      </c>
      <c r="B66">
        <v>2270</v>
      </c>
      <c r="C66">
        <v>2270</v>
      </c>
      <c r="D66">
        <v>2270</v>
      </c>
      <c r="E66">
        <v>2270</v>
      </c>
      <c r="F66">
        <v>2270</v>
      </c>
      <c r="G66">
        <v>2270</v>
      </c>
      <c r="H66">
        <v>2270</v>
      </c>
    </row>
    <row r="67" spans="1:8" x14ac:dyDescent="0.2">
      <c r="A67" t="s">
        <v>25</v>
      </c>
      <c r="B67">
        <v>1796</v>
      </c>
      <c r="C67">
        <v>1796</v>
      </c>
      <c r="D67">
        <v>1796</v>
      </c>
      <c r="E67">
        <v>1796</v>
      </c>
      <c r="F67">
        <v>1796</v>
      </c>
      <c r="G67">
        <v>1796</v>
      </c>
      <c r="H67">
        <v>1796</v>
      </c>
    </row>
    <row r="68" spans="1:8" x14ac:dyDescent="0.2">
      <c r="A68" t="s">
        <v>68</v>
      </c>
      <c r="B68">
        <v>1555</v>
      </c>
      <c r="C68">
        <v>1481</v>
      </c>
      <c r="D68">
        <v>1415</v>
      </c>
      <c r="E68">
        <v>1355</v>
      </c>
      <c r="F68">
        <v>1301</v>
      </c>
      <c r="G68">
        <v>1253</v>
      </c>
      <c r="H68">
        <v>1208</v>
      </c>
    </row>
    <row r="69" spans="1:8" x14ac:dyDescent="0.2">
      <c r="A69" t="s">
        <v>69</v>
      </c>
      <c r="B69">
        <v>2256</v>
      </c>
      <c r="C69">
        <v>2122</v>
      </c>
      <c r="D69">
        <v>2000</v>
      </c>
      <c r="E69">
        <v>1890</v>
      </c>
      <c r="F69">
        <v>1791</v>
      </c>
      <c r="G69">
        <v>1701</v>
      </c>
      <c r="H69">
        <v>1620</v>
      </c>
    </row>
    <row r="70" spans="1:8" x14ac:dyDescent="0.2">
      <c r="A70" t="s">
        <v>66</v>
      </c>
      <c r="B70">
        <v>220</v>
      </c>
      <c r="C70">
        <v>201</v>
      </c>
      <c r="D70">
        <v>189</v>
      </c>
      <c r="E70">
        <v>181</v>
      </c>
      <c r="F70">
        <v>176</v>
      </c>
      <c r="G70">
        <v>172</v>
      </c>
      <c r="H70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5B99-6335-1E44-B435-6F94AA4DED50}">
  <dimension ref="A1:H36"/>
  <sheetViews>
    <sheetView workbookViewId="0">
      <selection activeCell="B2" sqref="B2"/>
    </sheetView>
  </sheetViews>
  <sheetFormatPr baseColWidth="10" defaultRowHeight="16" x14ac:dyDescent="0.2"/>
  <sheetData>
    <row r="1" spans="1:8" x14ac:dyDescent="0.2">
      <c r="A1" t="s">
        <v>72</v>
      </c>
      <c r="B1">
        <v>2020</v>
      </c>
      <c r="C1">
        <v>2025</v>
      </c>
      <c r="D1">
        <v>2030</v>
      </c>
      <c r="E1">
        <v>2035</v>
      </c>
      <c r="F1">
        <v>2040</v>
      </c>
      <c r="G1">
        <v>2045</v>
      </c>
      <c r="H1">
        <v>2050</v>
      </c>
    </row>
    <row r="2" spans="1:8" x14ac:dyDescent="0.2">
      <c r="A2" t="s">
        <v>33</v>
      </c>
      <c r="B2">
        <f>Sheet2!M$13</f>
        <v>848.59625212947196</v>
      </c>
      <c r="C2">
        <f>Sheet2!N$13</f>
        <v>743.43952494571556</v>
      </c>
      <c r="D2">
        <f>Sheet2!O$13</f>
        <v>708.85000367164014</v>
      </c>
      <c r="E2">
        <f>Sheet2!P$13</f>
        <v>685.22466543286555</v>
      </c>
      <c r="F2">
        <f>Sheet2!Q$13</f>
        <v>661.01893430351129</v>
      </c>
      <c r="G2">
        <f>Sheet2!R$13</f>
        <v>638.29497825679096</v>
      </c>
      <c r="H2">
        <f>Sheet2!S$13</f>
        <v>611.22120337658953</v>
      </c>
    </row>
    <row r="3" spans="1:8" x14ac:dyDescent="0.2">
      <c r="A3" t="s">
        <v>34</v>
      </c>
      <c r="B3">
        <f>Sheet2!M$14</f>
        <v>1570.9747268140552</v>
      </c>
      <c r="C3">
        <f>Sheet2!N$14</f>
        <v>1348.3811461129339</v>
      </c>
      <c r="D3">
        <f>Sheet2!O$14</f>
        <v>1259.8646188517819</v>
      </c>
      <c r="E3">
        <f>Sheet2!P$14</f>
        <v>1192.1510760847304</v>
      </c>
      <c r="F3">
        <f>Sheet2!Q$14</f>
        <v>1128.9234364911276</v>
      </c>
      <c r="G3">
        <f>Sheet2!R$14</f>
        <v>1069.2980182372607</v>
      </c>
      <c r="H3">
        <f>Sheet2!S$14</f>
        <v>1005.1044515043917</v>
      </c>
    </row>
    <row r="4" spans="1:8" x14ac:dyDescent="0.2">
      <c r="A4" t="s">
        <v>64</v>
      </c>
      <c r="B4">
        <f>Sheet2!M$15</f>
        <v>1234.3939869610188</v>
      </c>
      <c r="C4">
        <f>Sheet2!N$15</f>
        <v>1062.7740699272247</v>
      </c>
      <c r="D4">
        <f>Sheet2!O$15</f>
        <v>997.04051212263505</v>
      </c>
      <c r="E4">
        <f>Sheet2!P$15</f>
        <v>947.42798128727839</v>
      </c>
      <c r="F4">
        <f>Sheet2!Q$15</f>
        <v>900.50851678415529</v>
      </c>
      <c r="G4">
        <f>Sheet2!R$15</f>
        <v>857.21715729448988</v>
      </c>
      <c r="H4">
        <f>Sheet2!S$15</f>
        <v>807.82846135549266</v>
      </c>
    </row>
    <row r="5" spans="1:8" x14ac:dyDescent="0.2">
      <c r="A5" t="s">
        <v>65</v>
      </c>
      <c r="B5">
        <f>Sheet2!M$16</f>
        <v>1790.8635592180437</v>
      </c>
      <c r="C5">
        <f>Sheet2!N$16</f>
        <v>1522.7593358444099</v>
      </c>
      <c r="D5">
        <f>Sheet2!O$16</f>
        <v>1409.2445401026644</v>
      </c>
      <c r="E5">
        <f>Sheet2!P$16</f>
        <v>1321.5047119062408</v>
      </c>
      <c r="F5">
        <f>Sheet2!Q$16</f>
        <v>1239.6700642278417</v>
      </c>
      <c r="G5">
        <f>Sheet2!R$16</f>
        <v>1163.7082079472684</v>
      </c>
      <c r="H5">
        <f>Sheet2!S$16</f>
        <v>1083.3461153939552</v>
      </c>
    </row>
    <row r="6" spans="1:8" x14ac:dyDescent="0.2">
      <c r="A6" t="s">
        <v>36</v>
      </c>
      <c r="B6">
        <f>Sheet2!M$8</f>
        <v>754.03066439522991</v>
      </c>
      <c r="C6">
        <f>Sheet2!N$8</f>
        <v>536.40545144804082</v>
      </c>
      <c r="D6">
        <f>Sheet2!O$8</f>
        <v>521.49914821124355</v>
      </c>
      <c r="E6">
        <f>Sheet2!P$8</f>
        <v>506.59284497444628</v>
      </c>
      <c r="F6">
        <f>Sheet2!Q$8</f>
        <v>482.26575809199318</v>
      </c>
      <c r="G6">
        <f>Sheet2!R$8</f>
        <v>457.93867120954002</v>
      </c>
      <c r="H6">
        <f>Sheet2!S$8</f>
        <v>433.62862010221465</v>
      </c>
    </row>
    <row r="7" spans="1:8" x14ac:dyDescent="0.2">
      <c r="A7" t="s">
        <v>35</v>
      </c>
      <c r="B7">
        <f>Sheet2!M$7</f>
        <v>961.86712095400333</v>
      </c>
      <c r="C7">
        <f>Sheet2!N$7</f>
        <v>873.04940374787054</v>
      </c>
      <c r="D7">
        <f>Sheet2!O$7</f>
        <v>819.74446337308336</v>
      </c>
      <c r="E7">
        <f>Sheet2!P$7</f>
        <v>766.43952299829641</v>
      </c>
      <c r="F7">
        <f>Sheet2!Q$7</f>
        <v>724.59965928449742</v>
      </c>
      <c r="G7">
        <f>Sheet2!R$7</f>
        <v>682.75979557069843</v>
      </c>
      <c r="H7">
        <f>Sheet2!S$7</f>
        <v>640.9028960817717</v>
      </c>
    </row>
    <row r="8" spans="1:8" x14ac:dyDescent="0.2">
      <c r="A8" t="s">
        <v>37</v>
      </c>
      <c r="B8">
        <f>Sheet2!M$9</f>
        <v>924.66439522998292</v>
      </c>
      <c r="C8">
        <f>Sheet2!N$9</f>
        <v>943.7308347529812</v>
      </c>
      <c r="D8">
        <f>Sheet2!O$9</f>
        <v>925.70698466780232</v>
      </c>
      <c r="E8">
        <f>Sheet2!P$9</f>
        <v>907.68313458262355</v>
      </c>
      <c r="F8">
        <f>Sheet2!Q$9</f>
        <v>889.65928449744467</v>
      </c>
      <c r="G8">
        <f>Sheet2!R$9</f>
        <v>871.63543441226579</v>
      </c>
      <c r="H8">
        <f>Sheet2!S$9</f>
        <v>853.6115843270868</v>
      </c>
    </row>
    <row r="9" spans="1:8" x14ac:dyDescent="0.2">
      <c r="A9" t="s">
        <v>38</v>
      </c>
      <c r="B9">
        <f>Sheet2!M$10</f>
        <v>1132.5008517887561</v>
      </c>
      <c r="C9">
        <f>Sheet2!N$10</f>
        <v>1349.0971039182282</v>
      </c>
      <c r="D9">
        <f>Sheet2!O$10</f>
        <v>1322.9982964224871</v>
      </c>
      <c r="E9">
        <f>Sheet2!P$10</f>
        <v>1296.8994889267462</v>
      </c>
      <c r="F9">
        <f>Sheet2!Q$10</f>
        <v>1270.8177172061328</v>
      </c>
      <c r="G9">
        <f>Sheet2!R$10</f>
        <v>1244.7189097103917</v>
      </c>
      <c r="H9">
        <f>Sheet2!S$10</f>
        <v>1218.6201022146508</v>
      </c>
    </row>
    <row r="10" spans="1:8" x14ac:dyDescent="0.2">
      <c r="A10" t="s">
        <v>39</v>
      </c>
      <c r="B10">
        <f>Sheet2!M$12</f>
        <v>196.82112436115841</v>
      </c>
      <c r="C10">
        <f>Sheet2!N$12</f>
        <v>206.6609880749574</v>
      </c>
      <c r="D10">
        <f>Sheet2!O$12</f>
        <v>197.49574105621804</v>
      </c>
      <c r="E10">
        <f>Sheet2!P$12</f>
        <v>188.3304940374787</v>
      </c>
      <c r="F10">
        <f>Sheet2!Q$12</f>
        <v>180.56218057921637</v>
      </c>
      <c r="G10">
        <f>Sheet2!R$12</f>
        <v>172.81090289608176</v>
      </c>
      <c r="H10">
        <f>Sheet2!S$12</f>
        <v>165.0596252129472</v>
      </c>
    </row>
    <row r="11" spans="1:8" x14ac:dyDescent="0.2">
      <c r="A11" t="s">
        <v>40</v>
      </c>
      <c r="B11">
        <f>Sheet2!M$11</f>
        <v>498.59965928449742</v>
      </c>
      <c r="C11">
        <f>Sheet2!N$11</f>
        <v>426.6609880749574</v>
      </c>
      <c r="D11">
        <f>Sheet2!O$11</f>
        <v>383.45826235093699</v>
      </c>
      <c r="E11">
        <f>Sheet2!P$11</f>
        <v>340.27257240204432</v>
      </c>
      <c r="F11">
        <f>Sheet2!Q$11</f>
        <v>320.83475298126064</v>
      </c>
      <c r="G11">
        <f>Sheet2!R$11</f>
        <v>301.39693356047701</v>
      </c>
      <c r="H11">
        <f>Sheet2!S$11</f>
        <v>281.95911413969333</v>
      </c>
    </row>
    <row r="12" spans="1:8" x14ac:dyDescent="0.2">
      <c r="A12" t="s">
        <v>41</v>
      </c>
      <c r="B12">
        <f>Sheet2!M$13</f>
        <v>848.59625212947196</v>
      </c>
      <c r="C12">
        <f>Sheet2!N$13</f>
        <v>743.43952494571556</v>
      </c>
      <c r="D12">
        <f>Sheet2!O$13</f>
        <v>708.85000367164014</v>
      </c>
      <c r="E12">
        <f>Sheet2!P$13</f>
        <v>685.22466543286555</v>
      </c>
      <c r="F12">
        <f>Sheet2!Q$13</f>
        <v>661.01893430351129</v>
      </c>
      <c r="G12">
        <f>Sheet2!R$13</f>
        <v>638.29497825679096</v>
      </c>
      <c r="H12">
        <f>Sheet2!S$13</f>
        <v>611.22120337658953</v>
      </c>
    </row>
    <row r="13" spans="1:8" x14ac:dyDescent="0.2">
      <c r="A13" t="s">
        <v>42</v>
      </c>
      <c r="B13">
        <f>Sheet2!M$14</f>
        <v>1570.9747268140552</v>
      </c>
      <c r="C13">
        <f>Sheet2!N$14</f>
        <v>1348.3811461129339</v>
      </c>
      <c r="D13">
        <f>Sheet2!O$14</f>
        <v>1259.8646188517819</v>
      </c>
      <c r="E13">
        <f>Sheet2!P$14</f>
        <v>1192.1510760847304</v>
      </c>
      <c r="F13">
        <f>Sheet2!Q$14</f>
        <v>1128.9234364911276</v>
      </c>
      <c r="G13">
        <f>Sheet2!R$14</f>
        <v>1069.2980182372607</v>
      </c>
      <c r="H13">
        <f>Sheet2!S$14</f>
        <v>1005.1044515043917</v>
      </c>
    </row>
    <row r="14" spans="1:8" x14ac:dyDescent="0.2">
      <c r="A14" t="s">
        <v>70</v>
      </c>
      <c r="B14">
        <f>Sheet2!M$15</f>
        <v>1234.3939869610188</v>
      </c>
      <c r="C14">
        <f>Sheet2!N$15</f>
        <v>1062.7740699272247</v>
      </c>
      <c r="D14">
        <f>Sheet2!O$15</f>
        <v>997.04051212263505</v>
      </c>
      <c r="E14">
        <f>Sheet2!P$15</f>
        <v>947.42798128727839</v>
      </c>
      <c r="F14">
        <f>Sheet2!Q$15</f>
        <v>900.50851678415529</v>
      </c>
      <c r="G14">
        <f>Sheet2!R$15</f>
        <v>857.21715729448988</v>
      </c>
      <c r="H14">
        <f>Sheet2!S$15</f>
        <v>807.82846135549266</v>
      </c>
    </row>
    <row r="15" spans="1:8" x14ac:dyDescent="0.2">
      <c r="A15" t="s">
        <v>71</v>
      </c>
      <c r="B15">
        <f>Sheet2!M$16</f>
        <v>1790.8635592180437</v>
      </c>
      <c r="C15">
        <f>Sheet2!N$16</f>
        <v>1522.7593358444099</v>
      </c>
      <c r="D15">
        <f>Sheet2!O$16</f>
        <v>1409.2445401026644</v>
      </c>
      <c r="E15">
        <f>Sheet2!P$16</f>
        <v>1321.5047119062408</v>
      </c>
      <c r="F15">
        <f>Sheet2!Q$16</f>
        <v>1239.6700642278417</v>
      </c>
      <c r="G15">
        <f>Sheet2!R$16</f>
        <v>1163.7082079472684</v>
      </c>
      <c r="H15">
        <f>Sheet2!S$16</f>
        <v>1083.3461153939552</v>
      </c>
    </row>
    <row r="16" spans="1:8" x14ac:dyDescent="0.2">
      <c r="A16" t="s">
        <v>43</v>
      </c>
      <c r="B16">
        <f>Sheet2!M$8</f>
        <v>754.03066439522991</v>
      </c>
      <c r="C16">
        <f>Sheet2!N$8</f>
        <v>536.40545144804082</v>
      </c>
      <c r="D16">
        <f>Sheet2!O$8</f>
        <v>521.49914821124355</v>
      </c>
      <c r="E16">
        <f>Sheet2!P$8</f>
        <v>506.59284497444628</v>
      </c>
      <c r="F16">
        <f>Sheet2!Q$8</f>
        <v>482.26575809199318</v>
      </c>
      <c r="G16">
        <f>Sheet2!R$8</f>
        <v>457.93867120954002</v>
      </c>
      <c r="H16">
        <f>Sheet2!S$8</f>
        <v>433.62862010221465</v>
      </c>
    </row>
    <row r="17" spans="1:8" x14ac:dyDescent="0.2">
      <c r="A17" t="s">
        <v>44</v>
      </c>
      <c r="B17">
        <f>Sheet2!M$7</f>
        <v>961.86712095400333</v>
      </c>
      <c r="C17">
        <f>Sheet2!N$7</f>
        <v>873.04940374787054</v>
      </c>
      <c r="D17">
        <f>Sheet2!O$7</f>
        <v>819.74446337308336</v>
      </c>
      <c r="E17">
        <f>Sheet2!P$7</f>
        <v>766.43952299829641</v>
      </c>
      <c r="F17">
        <f>Sheet2!Q$7</f>
        <v>724.59965928449742</v>
      </c>
      <c r="G17">
        <f>Sheet2!R$7</f>
        <v>682.75979557069843</v>
      </c>
      <c r="H17">
        <f>Sheet2!S$7</f>
        <v>640.9028960817717</v>
      </c>
    </row>
    <row r="18" spans="1:8" x14ac:dyDescent="0.2">
      <c r="A18" t="s">
        <v>45</v>
      </c>
      <c r="B18">
        <f>Sheet2!M$9</f>
        <v>924.66439522998292</v>
      </c>
      <c r="C18">
        <f>Sheet2!N$9</f>
        <v>943.7308347529812</v>
      </c>
      <c r="D18">
        <f>Sheet2!O$9</f>
        <v>925.70698466780232</v>
      </c>
      <c r="E18">
        <f>Sheet2!P$9</f>
        <v>907.68313458262355</v>
      </c>
      <c r="F18">
        <f>Sheet2!Q$9</f>
        <v>889.65928449744467</v>
      </c>
      <c r="G18">
        <f>Sheet2!R$9</f>
        <v>871.63543441226579</v>
      </c>
      <c r="H18">
        <f>Sheet2!S$9</f>
        <v>853.6115843270868</v>
      </c>
    </row>
    <row r="19" spans="1:8" x14ac:dyDescent="0.2">
      <c r="A19" t="s">
        <v>46</v>
      </c>
      <c r="B19">
        <f>Sheet2!M$10</f>
        <v>1132.5008517887561</v>
      </c>
      <c r="C19">
        <f>Sheet2!N$10</f>
        <v>1349.0971039182282</v>
      </c>
      <c r="D19">
        <f>Sheet2!O$10</f>
        <v>1322.9982964224871</v>
      </c>
      <c r="E19">
        <f>Sheet2!P$10</f>
        <v>1296.8994889267462</v>
      </c>
      <c r="F19">
        <f>Sheet2!Q$10</f>
        <v>1270.8177172061328</v>
      </c>
      <c r="G19">
        <f>Sheet2!R$10</f>
        <v>1244.7189097103917</v>
      </c>
      <c r="H19">
        <f>Sheet2!S$10</f>
        <v>1218.6201022146508</v>
      </c>
    </row>
    <row r="20" spans="1:8" x14ac:dyDescent="0.2">
      <c r="A20" t="s">
        <v>47</v>
      </c>
      <c r="B20">
        <f>Sheet2!M$12</f>
        <v>196.82112436115841</v>
      </c>
      <c r="C20">
        <f>Sheet2!N$12</f>
        <v>206.6609880749574</v>
      </c>
      <c r="D20">
        <f>Sheet2!O$12</f>
        <v>197.49574105621804</v>
      </c>
      <c r="E20">
        <f>Sheet2!P$12</f>
        <v>188.3304940374787</v>
      </c>
      <c r="F20">
        <f>Sheet2!Q$12</f>
        <v>180.56218057921637</v>
      </c>
      <c r="G20">
        <f>Sheet2!R$12</f>
        <v>172.81090289608176</v>
      </c>
      <c r="H20">
        <f>Sheet2!S$12</f>
        <v>165.0596252129472</v>
      </c>
    </row>
    <row r="21" spans="1:8" x14ac:dyDescent="0.2">
      <c r="A21" t="s">
        <v>48</v>
      </c>
      <c r="B21">
        <f>Sheet2!M$11</f>
        <v>498.59965928449742</v>
      </c>
      <c r="C21">
        <f>Sheet2!N$11</f>
        <v>426.6609880749574</v>
      </c>
      <c r="D21">
        <f>Sheet2!O$11</f>
        <v>383.45826235093699</v>
      </c>
      <c r="E21">
        <f>Sheet2!P$11</f>
        <v>340.27257240204432</v>
      </c>
      <c r="F21">
        <f>Sheet2!Q$11</f>
        <v>320.83475298126064</v>
      </c>
      <c r="G21">
        <f>Sheet2!R$11</f>
        <v>301.39693356047701</v>
      </c>
      <c r="H21">
        <f>Sheet2!S$11</f>
        <v>281.95911413969333</v>
      </c>
    </row>
    <row r="22" spans="1:8" x14ac:dyDescent="0.2">
      <c r="A22" t="s">
        <v>49</v>
      </c>
      <c r="B22">
        <f>Sheet2!M$8</f>
        <v>754.03066439522991</v>
      </c>
      <c r="C22">
        <f>Sheet2!N$8</f>
        <v>536.40545144804082</v>
      </c>
      <c r="D22">
        <f>Sheet2!O$8</f>
        <v>521.49914821124355</v>
      </c>
      <c r="E22">
        <f>Sheet2!P$8</f>
        <v>506.59284497444628</v>
      </c>
      <c r="F22">
        <f>Sheet2!Q$8</f>
        <v>482.26575809199318</v>
      </c>
      <c r="G22">
        <f>Sheet2!R$8</f>
        <v>457.93867120954002</v>
      </c>
      <c r="H22">
        <f>Sheet2!S$8</f>
        <v>433.62862010221465</v>
      </c>
    </row>
    <row r="23" spans="1:8" x14ac:dyDescent="0.2">
      <c r="A23" t="s">
        <v>50</v>
      </c>
      <c r="B23">
        <f>Sheet2!M$12</f>
        <v>196.82112436115841</v>
      </c>
      <c r="C23">
        <f>Sheet2!N$12</f>
        <v>206.6609880749574</v>
      </c>
      <c r="D23">
        <f>Sheet2!O$12</f>
        <v>197.49574105621804</v>
      </c>
      <c r="E23">
        <f>Sheet2!P$12</f>
        <v>188.3304940374787</v>
      </c>
      <c r="F23">
        <f>Sheet2!Q$12</f>
        <v>180.56218057921637</v>
      </c>
      <c r="G23">
        <f>Sheet2!R$12</f>
        <v>172.81090289608176</v>
      </c>
      <c r="H23">
        <f>Sheet2!S$12</f>
        <v>165.0596252129472</v>
      </c>
    </row>
    <row r="24" spans="1:8" x14ac:dyDescent="0.2">
      <c r="A24" t="s">
        <v>51</v>
      </c>
      <c r="B24">
        <f>Sheet2!M$11</f>
        <v>498.59965928449742</v>
      </c>
      <c r="C24">
        <f>Sheet2!N$11</f>
        <v>426.6609880749574</v>
      </c>
      <c r="D24">
        <f>Sheet2!O$11</f>
        <v>383.45826235093699</v>
      </c>
      <c r="E24">
        <f>Sheet2!P$11</f>
        <v>340.27257240204432</v>
      </c>
      <c r="F24">
        <f>Sheet2!Q$11</f>
        <v>320.83475298126064</v>
      </c>
      <c r="G24">
        <f>Sheet2!R$11</f>
        <v>301.39693356047701</v>
      </c>
      <c r="H24">
        <f>Sheet2!S$11</f>
        <v>281.95911413969333</v>
      </c>
    </row>
    <row r="25" spans="1:8" x14ac:dyDescent="0.2">
      <c r="A25" t="s">
        <v>52</v>
      </c>
      <c r="B25">
        <f>Sheet2!M20</f>
        <v>174.79045996592845</v>
      </c>
      <c r="C25">
        <f>Sheet2!N20</f>
        <v>224.76936420032169</v>
      </c>
      <c r="D25">
        <f>Sheet2!O20</f>
        <v>216.43543253782664</v>
      </c>
      <c r="E25">
        <f>Sheet2!P20</f>
        <v>208.08251697632818</v>
      </c>
      <c r="F25">
        <f>Sheet2!Q20</f>
        <v>199.74858531383319</v>
      </c>
      <c r="G25">
        <f>Sheet2!R20</f>
        <v>191.41465365133814</v>
      </c>
      <c r="H25">
        <f>Sheet2!S20</f>
        <v>183.06173808983968</v>
      </c>
    </row>
    <row r="26" spans="1:8" x14ac:dyDescent="0.2">
      <c r="A26" t="s">
        <v>53</v>
      </c>
      <c r="B26">
        <f>Sheet2!M5</f>
        <v>570.09540034071551</v>
      </c>
      <c r="C26">
        <f>Sheet2!N5</f>
        <v>429.12573286226973</v>
      </c>
      <c r="D26">
        <f>Sheet2!O5</f>
        <v>359.61271098955706</v>
      </c>
      <c r="E26">
        <f>Sheet2!P5</f>
        <v>290.09968911684479</v>
      </c>
      <c r="F26">
        <f>Sheet2!Q5</f>
        <v>262.00135003487185</v>
      </c>
      <c r="G26">
        <f>Sheet2!R5</f>
        <v>233.90301095289891</v>
      </c>
      <c r="H26">
        <f>Sheet2!S5</f>
        <v>205.80467187092603</v>
      </c>
    </row>
    <row r="27" spans="1:8" x14ac:dyDescent="0.2">
      <c r="A27" t="s">
        <v>54</v>
      </c>
      <c r="B27">
        <f>Sheet2!M$4</f>
        <v>202.0976887284192</v>
      </c>
      <c r="C27">
        <f>Sheet2!N$4</f>
        <v>168.20312642633178</v>
      </c>
      <c r="D27">
        <f>Sheet2!O$4</f>
        <v>132.68864600337355</v>
      </c>
      <c r="E27">
        <f>Sheet2!P$4</f>
        <v>97.174165580415391</v>
      </c>
      <c r="F27">
        <f>Sheet2!Q$4</f>
        <v>88.483498435376561</v>
      </c>
      <c r="G27">
        <f>Sheet2!R$4</f>
        <v>79.792831290337745</v>
      </c>
      <c r="H27">
        <f>Sheet2!S$4</f>
        <v>71.102164145298971</v>
      </c>
    </row>
    <row r="28" spans="1:8" x14ac:dyDescent="0.2">
      <c r="A28" t="s">
        <v>55</v>
      </c>
      <c r="B28">
        <f>Sheet2!M$4</f>
        <v>202.0976887284192</v>
      </c>
      <c r="C28">
        <f>Sheet2!N$4</f>
        <v>168.20312642633178</v>
      </c>
      <c r="D28">
        <f>Sheet2!O$4</f>
        <v>132.68864600337355</v>
      </c>
      <c r="E28">
        <f>Sheet2!P$4</f>
        <v>97.174165580415391</v>
      </c>
      <c r="F28">
        <f>Sheet2!Q$4</f>
        <v>88.483498435376561</v>
      </c>
      <c r="G28">
        <f>Sheet2!R$4</f>
        <v>79.792831290337745</v>
      </c>
      <c r="H28">
        <f>Sheet2!S$4</f>
        <v>71.102164145298971</v>
      </c>
    </row>
    <row r="29" spans="1:8" x14ac:dyDescent="0.2">
      <c r="A29" t="s">
        <v>56</v>
      </c>
      <c r="B29">
        <f>Sheet2!M$4</f>
        <v>202.0976887284192</v>
      </c>
      <c r="C29">
        <f>Sheet2!N$4</f>
        <v>168.20312642633178</v>
      </c>
      <c r="D29">
        <f>Sheet2!O$4</f>
        <v>132.68864600337355</v>
      </c>
      <c r="E29">
        <f>Sheet2!P$4</f>
        <v>97.174165580415391</v>
      </c>
      <c r="F29">
        <f>Sheet2!Q$4</f>
        <v>88.483498435376561</v>
      </c>
      <c r="G29">
        <f>Sheet2!R$4</f>
        <v>79.792831290337745</v>
      </c>
      <c r="H29">
        <f>Sheet2!S$4</f>
        <v>71.102164145298971</v>
      </c>
    </row>
    <row r="30" spans="1:8" x14ac:dyDescent="0.2">
      <c r="A30" t="s">
        <v>57</v>
      </c>
      <c r="B30">
        <f>Sheet2!M2</f>
        <v>292.01022146507665</v>
      </c>
      <c r="C30">
        <f>Sheet2!N2</f>
        <v>235.15125557174616</v>
      </c>
      <c r="D30">
        <f>Sheet2!O2</f>
        <v>209.25174796498976</v>
      </c>
      <c r="E30">
        <f>Sheet2!P2</f>
        <v>197.4771322721005</v>
      </c>
      <c r="F30">
        <f>Sheet2!Q2</f>
        <v>185.70251657921125</v>
      </c>
      <c r="G30">
        <f>Sheet2!R2</f>
        <v>173.92790088632367</v>
      </c>
      <c r="H30">
        <f>Sheet2!S2</f>
        <v>162.15328519343475</v>
      </c>
    </row>
    <row r="31" spans="1:8" x14ac:dyDescent="0.2">
      <c r="A31" t="s">
        <v>58</v>
      </c>
      <c r="B31">
        <f>Sheet2!M3</f>
        <v>515.64224872231682</v>
      </c>
      <c r="C31">
        <f>Sheet2!N3</f>
        <v>704.42107325383301</v>
      </c>
      <c r="D31">
        <f>Sheet2!O3</f>
        <v>533.37989778534927</v>
      </c>
      <c r="E31">
        <f>Sheet2!P3</f>
        <v>411.75444633730831</v>
      </c>
      <c r="F31">
        <f>Sheet2!Q3</f>
        <v>396.23250425894372</v>
      </c>
      <c r="G31">
        <f>Sheet2!R3</f>
        <v>384.61006814310048</v>
      </c>
      <c r="H31">
        <f>Sheet2!S3</f>
        <v>375.37396933560478</v>
      </c>
    </row>
    <row r="32" spans="1:8" x14ac:dyDescent="0.2">
      <c r="A32" t="s">
        <v>59</v>
      </c>
      <c r="B32">
        <f>Sheet2!M$2</f>
        <v>292.01022146507665</v>
      </c>
      <c r="C32">
        <f>Sheet2!N$2</f>
        <v>235.15125557174616</v>
      </c>
      <c r="D32">
        <f>Sheet2!O$2</f>
        <v>209.25174796498976</v>
      </c>
      <c r="E32">
        <f>Sheet2!P$2</f>
        <v>197.4771322721005</v>
      </c>
      <c r="F32">
        <f>Sheet2!Q$2</f>
        <v>185.70251657921125</v>
      </c>
      <c r="G32">
        <f>Sheet2!R$2</f>
        <v>173.92790088632367</v>
      </c>
      <c r="H32">
        <f>Sheet2!S$2</f>
        <v>162.15328519343475</v>
      </c>
    </row>
    <row r="33" spans="1:8" x14ac:dyDescent="0.2">
      <c r="A33" t="s">
        <v>60</v>
      </c>
      <c r="B33">
        <f>Sheet2!M$2</f>
        <v>292.01022146507665</v>
      </c>
      <c r="C33">
        <f>Sheet2!N$2</f>
        <v>235.15125557174616</v>
      </c>
      <c r="D33">
        <f>Sheet2!O$2</f>
        <v>209.25174796498976</v>
      </c>
      <c r="E33">
        <f>Sheet2!P$2</f>
        <v>197.4771322721005</v>
      </c>
      <c r="F33">
        <f>Sheet2!Q$2</f>
        <v>185.70251657921125</v>
      </c>
      <c r="G33">
        <f>Sheet2!R$2</f>
        <v>173.92790088632367</v>
      </c>
      <c r="H33">
        <f>Sheet2!S$2</f>
        <v>162.15328519343475</v>
      </c>
    </row>
    <row r="34" spans="1:8" x14ac:dyDescent="0.2">
      <c r="A34" t="s">
        <v>61</v>
      </c>
      <c r="B34">
        <f>Sheet2!M$6</f>
        <v>798.4210675752413</v>
      </c>
      <c r="C34">
        <f>Sheet2!N$6</f>
        <v>756.75752413401483</v>
      </c>
      <c r="D34">
        <f>Sheet2!O$6</f>
        <v>566.19954903892756</v>
      </c>
      <c r="E34">
        <f>Sheet2!P$6</f>
        <v>545.97813657325139</v>
      </c>
      <c r="F34">
        <f>Sheet2!Q$6</f>
        <v>525.75672410757522</v>
      </c>
      <c r="G34">
        <f>Sheet2!R$6</f>
        <v>505.53531164189906</v>
      </c>
      <c r="H34">
        <f>Sheet2!S$6</f>
        <v>485.31389917622363</v>
      </c>
    </row>
    <row r="35" spans="1:8" x14ac:dyDescent="0.2">
      <c r="A35" t="s">
        <v>62</v>
      </c>
      <c r="B35">
        <f>Sheet2!M$6</f>
        <v>798.4210675752413</v>
      </c>
      <c r="C35">
        <f>Sheet2!N$6</f>
        <v>756.75752413401483</v>
      </c>
      <c r="D35">
        <f>Sheet2!O$6</f>
        <v>566.19954903892756</v>
      </c>
      <c r="E35">
        <f>Sheet2!P$6</f>
        <v>545.97813657325139</v>
      </c>
      <c r="F35">
        <f>Sheet2!Q$6</f>
        <v>525.75672410757522</v>
      </c>
      <c r="G35">
        <f>Sheet2!R$6</f>
        <v>505.53531164189906</v>
      </c>
      <c r="H35">
        <f>Sheet2!S$6</f>
        <v>485.31389917622363</v>
      </c>
    </row>
    <row r="36" spans="1:8" x14ac:dyDescent="0.2">
      <c r="A36" t="s">
        <v>63</v>
      </c>
      <c r="B36">
        <f>Sheet2!M$6</f>
        <v>798.4210675752413</v>
      </c>
      <c r="C36">
        <f>Sheet2!N$6</f>
        <v>756.75752413401483</v>
      </c>
      <c r="D36">
        <f>Sheet2!O$6</f>
        <v>566.19954903892756</v>
      </c>
      <c r="E36">
        <f>Sheet2!P$6</f>
        <v>545.97813657325139</v>
      </c>
      <c r="F36">
        <f>Sheet2!Q$6</f>
        <v>525.75672410757522</v>
      </c>
      <c r="G36">
        <f>Sheet2!R$6</f>
        <v>505.53531164189906</v>
      </c>
      <c r="H36">
        <f>Sheet2!S$6</f>
        <v>485.31389917622363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technology_cost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Haozhe Yang</dc:creator>
  <cp:lastModifiedBy>Haozhe Yang</cp:lastModifiedBy>
  <dcterms:created xsi:type="dcterms:W3CDTF">2025-03-03T16:51:02Z</dcterms:created>
  <dcterms:modified xsi:type="dcterms:W3CDTF">2025-05-13T22:46:13Z</dcterms:modified>
</cp:coreProperties>
</file>